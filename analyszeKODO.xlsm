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雅仁\Downloads\"/>
    </mc:Choice>
  </mc:AlternateContent>
  <bookViews>
    <workbookView xWindow="0" yWindow="0" windowWidth="28800" windowHeight="12120"/>
  </bookViews>
  <sheets>
    <sheet name="分析" sheetId="1" r:id="rId1"/>
    <sheet name="一覧形式コメント" sheetId="2" r:id="rId2"/>
    <sheet name="回答形式コメント" sheetId="3" r:id="rId3"/>
  </sheets>
  <functionGroups builtInGroupCount="18"/>
  <definedNames>
    <definedName name="_xlnm._FilterDatabase" localSheetId="0" hidden="1">分析!$A$10:$AA$205</definedName>
    <definedName name="_xlnm.Print_Area" localSheetId="1">一覧形式コメント!$A$1</definedName>
    <definedName name="_xlnm.Print_Area" localSheetId="2">回答形式コメント!$A$1:$E$39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2" i="1" l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11" i="1"/>
  <c r="O3" i="1" l="1"/>
  <c r="W3" i="1"/>
  <c r="W2" i="1"/>
  <c r="O2" i="1"/>
  <c r="AA3" i="1"/>
  <c r="C4" i="1"/>
  <c r="C7" i="1" l="1"/>
  <c r="C6" i="1"/>
  <c r="D4" i="1" l="1"/>
  <c r="Y3" i="1" l="1"/>
  <c r="K2" i="1"/>
  <c r="AA2" i="1"/>
  <c r="D3" i="1"/>
  <c r="Y2" i="1" l="1"/>
  <c r="U3" i="1"/>
  <c r="G3" i="1"/>
  <c r="K3" i="1"/>
  <c r="Q3" i="1"/>
  <c r="S3" i="1"/>
  <c r="I3" i="1"/>
  <c r="M3" i="1"/>
  <c r="I2" i="1"/>
  <c r="M2" i="1"/>
  <c r="S2" i="1"/>
  <c r="Q2" i="1"/>
  <c r="U2" i="1"/>
  <c r="G2" i="1"/>
</calcChain>
</file>

<file path=xl/sharedStrings.xml><?xml version="1.0" encoding="utf-8"?>
<sst xmlns="http://schemas.openxmlformats.org/spreadsheetml/2006/main" count="1392" uniqueCount="72">
  <si>
    <t>性別</t>
    <rPh sb="0" eb="2">
      <t>セイベツ</t>
    </rPh>
    <phoneticPr fontId="1"/>
  </si>
  <si>
    <t>年代</t>
    <rPh sb="0" eb="2">
      <t>ネンダイ</t>
    </rPh>
    <phoneticPr fontId="1"/>
  </si>
  <si>
    <t>時間帯</t>
    <rPh sb="0" eb="3">
      <t>ジカンタイ</t>
    </rPh>
    <phoneticPr fontId="1"/>
  </si>
  <si>
    <t>曜日</t>
    <rPh sb="0" eb="2">
      <t>ヨウビ</t>
    </rPh>
    <phoneticPr fontId="1"/>
  </si>
  <si>
    <t>総合満足度</t>
    <rPh sb="0" eb="2">
      <t>ソウゴウ</t>
    </rPh>
    <rPh sb="2" eb="5">
      <t>マンゾクド</t>
    </rPh>
    <phoneticPr fontId="1"/>
  </si>
  <si>
    <t>再来店の意向</t>
    <rPh sb="0" eb="3">
      <t>サイライテン</t>
    </rPh>
    <rPh sb="4" eb="6">
      <t>イコウ</t>
    </rPh>
    <phoneticPr fontId="1"/>
  </si>
  <si>
    <t>誰かに薦めるか</t>
    <rPh sb="0" eb="1">
      <t>ダレ</t>
    </rPh>
    <rPh sb="3" eb="4">
      <t>スス</t>
    </rPh>
    <phoneticPr fontId="1"/>
  </si>
  <si>
    <t>id</t>
    <phoneticPr fontId="1"/>
  </si>
  <si>
    <t>女</t>
  </si>
  <si>
    <t>男</t>
  </si>
  <si>
    <t>30代</t>
  </si>
  <si>
    <t>40代</t>
  </si>
  <si>
    <t>20代</t>
  </si>
  <si>
    <t>10代</t>
  </si>
  <si>
    <t>50代</t>
  </si>
  <si>
    <t>平日</t>
  </si>
  <si>
    <t>土日祝</t>
  </si>
  <si>
    <t>昼食 (10:31-14:00)</t>
  </si>
  <si>
    <t>朝食 (5:01-10:30)</t>
  </si>
  <si>
    <t>スナック (14:01-17:00)</t>
  </si>
  <si>
    <t>夕食  (17:01-22:00)</t>
  </si>
  <si>
    <t>非常に満足</t>
  </si>
  <si>
    <t>やや満足</t>
  </si>
  <si>
    <t>やや不満</t>
  </si>
  <si>
    <t>どちらともいえない</t>
  </si>
  <si>
    <t>非常に不満</t>
  </si>
  <si>
    <t>やや重要である</t>
  </si>
  <si>
    <t>非常に重要である</t>
  </si>
  <si>
    <t>全く重要でない</t>
  </si>
  <si>
    <t>あまり重要でない</t>
  </si>
  <si>
    <t>ぜひ利用したい</t>
  </si>
  <si>
    <t>まあ利用したい</t>
  </si>
  <si>
    <t>あまり利用したくない</t>
  </si>
  <si>
    <t>全く利用したくない</t>
  </si>
  <si>
    <t>利用形態</t>
    <rPh sb="0" eb="2">
      <t>リヨウ</t>
    </rPh>
    <rPh sb="2" eb="4">
      <t>ケイタイ</t>
    </rPh>
    <phoneticPr fontId="1"/>
  </si>
  <si>
    <t>全体のNPS</t>
    <rPh sb="0" eb="2">
      <t>ゼンタイ</t>
    </rPh>
    <phoneticPr fontId="1"/>
  </si>
  <si>
    <t>条件によるNPS</t>
    <rPh sb="0" eb="2">
      <t>ジョウケン</t>
    </rPh>
    <phoneticPr fontId="1"/>
  </si>
  <si>
    <t>持ち帰り</t>
  </si>
  <si>
    <t>店内での食事</t>
  </si>
  <si>
    <t>ドライブスルー</t>
  </si>
  <si>
    <t>条件による平均</t>
    <rPh sb="0" eb="2">
      <t>ジョウケン</t>
    </rPh>
    <rPh sb="5" eb="7">
      <t>ヘイキン</t>
    </rPh>
    <phoneticPr fontId="1"/>
  </si>
  <si>
    <t>全体平均</t>
    <rPh sb="0" eb="2">
      <t>ゼンタイ</t>
    </rPh>
    <rPh sb="2" eb="4">
      <t>ヘイキン</t>
    </rPh>
    <phoneticPr fontId="1"/>
  </si>
  <si>
    <t>総数</t>
    <rPh sb="0" eb="2">
      <t>ソウスウ</t>
    </rPh>
    <phoneticPr fontId="1"/>
  </si>
  <si>
    <t>条件による項目数</t>
    <rPh sb="0" eb="2">
      <t>ジョウケン</t>
    </rPh>
    <rPh sb="5" eb="8">
      <t>コウモクスウ</t>
    </rPh>
    <phoneticPr fontId="1"/>
  </si>
  <si>
    <t>（タイトルを入力してください）</t>
    <rPh sb="6" eb="8">
      <t>ニュウリョク</t>
    </rPh>
    <phoneticPr fontId="1"/>
  </si>
  <si>
    <t>時間帯責任者からの回答</t>
    <rPh sb="0" eb="3">
      <t>ジカンタイ</t>
    </rPh>
    <rPh sb="3" eb="5">
      <t>セキニン</t>
    </rPh>
    <rPh sb="5" eb="6">
      <t>シャ</t>
    </rPh>
    <rPh sb="9" eb="11">
      <t>カイトウ</t>
    </rPh>
    <phoneticPr fontId="1"/>
  </si>
  <si>
    <t>時間帯</t>
    <rPh sb="0" eb="3">
      <t>ジカンタイ</t>
    </rPh>
    <phoneticPr fontId="1"/>
  </si>
  <si>
    <t>クーポンを人数分出すと、断られる。友達はクーポン使えないと、困る。会計別だと面倒</t>
  </si>
  <si>
    <t>やや高い</t>
  </si>
  <si>
    <t>スピードの満足度</t>
    <rPh sb="5" eb="8">
      <t>マンゾクド</t>
    </rPh>
    <phoneticPr fontId="1"/>
  </si>
  <si>
    <t>応対の満足度</t>
    <rPh sb="0" eb="2">
      <t>オウタイ</t>
    </rPh>
    <rPh sb="3" eb="6">
      <t>マンゾクド</t>
    </rPh>
    <phoneticPr fontId="1"/>
  </si>
  <si>
    <t>清潔さの満足度</t>
    <rPh sb="0" eb="2">
      <t>セイケツ</t>
    </rPh>
    <rPh sb="4" eb="7">
      <t>マンゾクド</t>
    </rPh>
    <phoneticPr fontId="1"/>
  </si>
  <si>
    <t>スピードの重要度</t>
    <rPh sb="5" eb="8">
      <t>ジュウヨウド</t>
    </rPh>
    <phoneticPr fontId="1"/>
  </si>
  <si>
    <t>応対の重要度</t>
    <rPh sb="0" eb="2">
      <t>オウタイ</t>
    </rPh>
    <rPh sb="3" eb="6">
      <t>ジュウヨウド</t>
    </rPh>
    <phoneticPr fontId="1"/>
  </si>
  <si>
    <t>清潔さの重要度</t>
    <rPh sb="0" eb="2">
      <t>セイケツ</t>
    </rPh>
    <rPh sb="4" eb="7">
      <t>ジュウヨウド</t>
    </rPh>
    <phoneticPr fontId="1"/>
  </si>
  <si>
    <t>商品の満足度</t>
    <rPh sb="0" eb="2">
      <t>ショウヒン</t>
    </rPh>
    <rPh sb="3" eb="6">
      <t>マンゾクド</t>
    </rPh>
    <phoneticPr fontId="1"/>
  </si>
  <si>
    <t>商品の重要度</t>
    <rPh sb="0" eb="2">
      <t>ショウヒン</t>
    </rPh>
    <rPh sb="3" eb="6">
      <t>ジュウヨウド</t>
    </rPh>
    <phoneticPr fontId="1"/>
  </si>
  <si>
    <t>土日祝 昼食 (10:31-14:00)</t>
  </si>
  <si>
    <t>・早かったから</t>
  </si>
  <si>
    <t>・少し信用性に欠けるから</t>
  </si>
  <si>
    <t>・クーポンを人数分出すと、断られる。友達はクーポン使えないと、困る。会計別だと面倒</t>
  </si>
  <si>
    <t>・なんとなく</t>
  </si>
  <si>
    <t>・好きだから</t>
  </si>
  <si>
    <t>・やや高い</t>
  </si>
  <si>
    <t>早かったから</t>
  </si>
  <si>
    <t>少し信用性に欠けるから</t>
  </si>
  <si>
    <t>入れ忘れがあった為</t>
  </si>
  <si>
    <t>クーポンもあり、気軽に利用できるから。</t>
  </si>
  <si>
    <t>カウンター内も汚いよ。ポテトの量も他店より少ないら、</t>
  </si>
  <si>
    <t>まあ利用したい</t>
    <phoneticPr fontId="4"/>
  </si>
  <si>
    <t>ぜひ利用したい</t>
    <phoneticPr fontId="4"/>
  </si>
  <si>
    <t>他にいい店舗をしっているから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</si>
</sst>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0" fontId="0" fillId="4" borderId="5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0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applyAlignment="1">
      <alignment vertical="center"/>
    </xf>
    <xf numFmtId="176" fontId="0" fillId="5" borderId="7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5" borderId="8" xfId="0" applyNumberFormat="1" applyFill="1" applyBorder="1" applyAlignment="1">
      <alignment horizontal="center" vertical="center"/>
    </xf>
    <xf numFmtId="176" fontId="0" fillId="5" borderId="9" xfId="0" applyNumberForma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176" fontId="0" fillId="5" borderId="7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" xfId="0" applyBorder="1" applyAlignment="1">
      <alignment horizontal="left" vertical="center" wrapText="1" inden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8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3737"/>
      <color rgb="FFFF9797"/>
      <color rgb="FFF63616"/>
      <color rgb="FFFB05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4</xdr:row>
      <xdr:rowOff>38100</xdr:rowOff>
    </xdr:from>
    <xdr:to>
      <xdr:col>4</xdr:col>
      <xdr:colOff>1504950</xdr:colOff>
      <xdr:row>8</xdr:row>
      <xdr:rowOff>142875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9775" y="1028700"/>
          <a:ext cx="1924050" cy="1076325"/>
        </a:xfrm>
        <a:prstGeom prst="rect">
          <a:avLst/>
        </a:prstGeom>
        <a:solidFill>
          <a:srgbClr val="FB0505">
            <a:alpha val="50196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0</xdr:row>
          <xdr:rowOff>85725</xdr:rowOff>
        </xdr:from>
        <xdr:to>
          <xdr:col>4</xdr:col>
          <xdr:colOff>1562100</xdr:colOff>
          <xdr:row>1</xdr:row>
          <xdr:rowOff>142875</xdr:rowOff>
        </xdr:to>
        <xdr:sp macro="" textlink="">
          <xdr:nvSpPr>
            <xdr:cNvPr id="1026" name="showForm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4</xdr:row>
          <xdr:rowOff>104775</xdr:rowOff>
        </xdr:from>
        <xdr:to>
          <xdr:col>4</xdr:col>
          <xdr:colOff>1466850</xdr:colOff>
          <xdr:row>7</xdr:row>
          <xdr:rowOff>76200</xdr:rowOff>
        </xdr:to>
        <xdr:sp macro="" textlink="">
          <xdr:nvSpPr>
            <xdr:cNvPr id="1031" name="Label 7" descr="もし”誰かに薦めるか”の項目の平均が正確に出ない場合、下の修正ボタンを押してください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もし"条件によるNPS"か”誰かに薦めるか”の項目の平均が正確に出ない場合、下の修正ボタンを押してください</a:t>
              </a:r>
            </a:p>
            <a:p>
              <a:pPr algn="l" rtl="0">
                <a:defRPr sz="1000"/>
              </a:pPr>
              <a:endParaRPr lang="ja-JP" altLang="en-US" sz="900" b="0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7</xdr:row>
          <xdr:rowOff>28575</xdr:rowOff>
        </xdr:from>
        <xdr:to>
          <xdr:col>4</xdr:col>
          <xdr:colOff>1019175</xdr:colOff>
          <xdr:row>8</xdr:row>
          <xdr:rowOff>114300</xdr:rowOff>
        </xdr:to>
        <xdr:sp macro="" textlink="">
          <xdr:nvSpPr>
            <xdr:cNvPr id="1029" name="modify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123825</xdr:rowOff>
        </xdr:from>
        <xdr:to>
          <xdr:col>4</xdr:col>
          <xdr:colOff>695325</xdr:colOff>
          <xdr:row>1</xdr:row>
          <xdr:rowOff>114300</xdr:rowOff>
        </xdr:to>
        <xdr:sp macro="" textlink="">
          <xdr:nvSpPr>
            <xdr:cNvPr id="1033" name="showPat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1552575</xdr:colOff>
          <xdr:row>3</xdr:row>
          <xdr:rowOff>85725</xdr:rowOff>
        </xdr:from>
        <xdr:to>
          <xdr:col>5</xdr:col>
          <xdr:colOff>1095375</xdr:colOff>
          <xdr:row>4</xdr:row>
          <xdr:rowOff>152400</xdr:rowOff>
        </xdr:to>
        <xdr:sp macro="" textlink="">
          <xdr:nvSpPr>
            <xdr:cNvPr id="1035" name="showGraphButton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1552575</xdr:colOff>
          <xdr:row>4</xdr:row>
          <xdr:rowOff>228600</xdr:rowOff>
        </xdr:from>
        <xdr:to>
          <xdr:col>5</xdr:col>
          <xdr:colOff>1095375</xdr:colOff>
          <xdr:row>6</xdr:row>
          <xdr:rowOff>66675</xdr:rowOff>
        </xdr:to>
        <xdr:sp macro="" textlink="">
          <xdr:nvSpPr>
            <xdr:cNvPr id="1037" name="showComentButton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1552575</xdr:colOff>
          <xdr:row>6</xdr:row>
          <xdr:rowOff>142875</xdr:rowOff>
        </xdr:from>
        <xdr:to>
          <xdr:col>5</xdr:col>
          <xdr:colOff>1085850</xdr:colOff>
          <xdr:row>8</xdr:row>
          <xdr:rowOff>0</xdr:rowOff>
        </xdr:to>
        <xdr:sp macro="" textlink="">
          <xdr:nvSpPr>
            <xdr:cNvPr id="1038" name="clearFilterButton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05"/>
  <sheetViews>
    <sheetView tabSelected="1" workbookViewId="0">
      <pane xSplit="6" ySplit="10" topLeftCell="G11" activePane="bottomRight" state="frozen"/>
      <selection pane="topRight" activeCell="G1" sqref="G1"/>
      <selection pane="bottomLeft" activeCell="A11" sqref="A11"/>
      <selection pane="bottomRight" activeCell="N21" sqref="N21"/>
    </sheetView>
  </sheetViews>
  <sheetFormatPr defaultRowHeight="18.75" x14ac:dyDescent="0.4"/>
  <cols>
    <col min="1" max="1" width="9.875" style="1" customWidth="1"/>
    <col min="2" max="2" width="6.625" style="1" customWidth="1"/>
    <col min="3" max="3" width="8.875" style="1" customWidth="1"/>
    <col min="4" max="4" width="6.5" style="1" customWidth="1"/>
    <col min="5" max="5" width="21" style="1" customWidth="1"/>
    <col min="6" max="6" width="14.875" customWidth="1"/>
    <col min="7" max="7" width="18.5" style="1" customWidth="1"/>
    <col min="8" max="8" width="4.875" style="4" customWidth="1"/>
    <col min="9" max="9" width="18.5" style="1" customWidth="1"/>
    <col min="10" max="10" width="4.875" style="4" customWidth="1"/>
    <col min="11" max="11" width="18.5" style="1" customWidth="1"/>
    <col min="12" max="12" width="4.875" style="4" customWidth="1"/>
    <col min="13" max="13" width="18.5" style="1" customWidth="1"/>
    <col min="14" max="14" width="4.875" style="4" customWidth="1"/>
    <col min="15" max="15" width="18.5" style="4" customWidth="1"/>
    <col min="16" max="16" width="4.875" style="4" customWidth="1"/>
    <col min="17" max="17" width="18.5" style="1" customWidth="1"/>
    <col min="18" max="18" width="4.875" style="4" customWidth="1"/>
    <col min="19" max="19" width="18.5" style="4" customWidth="1"/>
    <col min="20" max="20" width="4.875" style="4" customWidth="1"/>
    <col min="21" max="21" width="18.5" style="4" customWidth="1"/>
    <col min="22" max="22" width="4.875" style="4" customWidth="1"/>
    <col min="23" max="23" width="18.5" style="4" customWidth="1"/>
    <col min="24" max="24" width="4.875" style="4" customWidth="1"/>
    <col min="25" max="25" width="18.5" style="4" customWidth="1"/>
    <col min="26" max="26" width="4.875" style="4" customWidth="1"/>
    <col min="27" max="27" width="18.5" style="4" customWidth="1"/>
  </cols>
  <sheetData>
    <row r="1" spans="1:29" ht="19.5" thickBot="1" x14ac:dyDescent="0.45"/>
    <row r="2" spans="1:29" ht="19.5" thickBot="1" x14ac:dyDescent="0.45">
      <c r="F2" s="5" t="s">
        <v>41</v>
      </c>
      <c r="G2" s="29">
        <f>AVERAGE(H11:H205)</f>
        <v>75.549450549450555</v>
      </c>
      <c r="H2" s="29"/>
      <c r="I2" s="29">
        <f>AVERAGE(J11:J205)</f>
        <v>77.197802197802204</v>
      </c>
      <c r="J2" s="29"/>
      <c r="K2" s="29">
        <f>AVERAGE(L11:L205)</f>
        <v>76.098901098901095</v>
      </c>
      <c r="L2" s="29"/>
      <c r="M2" s="29">
        <f>AVERAGE(N11:N205)</f>
        <v>71.311475409836063</v>
      </c>
      <c r="N2" s="29"/>
      <c r="O2" s="19">
        <f>AVERAGE(P11:P205)</f>
        <v>77.197802197802204</v>
      </c>
      <c r="P2" s="20"/>
      <c r="Q2" s="29">
        <f>AVERAGE(R11:R205)</f>
        <v>80.769230769230774</v>
      </c>
      <c r="R2" s="29"/>
      <c r="S2" s="19">
        <f>AVERAGE(T11:T205)</f>
        <v>84.615384615384613</v>
      </c>
      <c r="T2" s="20"/>
      <c r="U2" s="19">
        <f>AVERAGE(V11:V205)</f>
        <v>83.196721311475414</v>
      </c>
      <c r="V2" s="20"/>
      <c r="W2" s="19">
        <f>AVERAGE(X11:X205)</f>
        <v>84.890109890109883</v>
      </c>
      <c r="X2" s="20"/>
      <c r="Y2" s="19">
        <f>AVERAGE(Z11:Z205)</f>
        <v>73.60109890109895</v>
      </c>
      <c r="Z2" s="20"/>
      <c r="AA2" s="17">
        <f>AVERAGE(AA11:AA205)</f>
        <v>6.6263736263736268</v>
      </c>
    </row>
    <row r="3" spans="1:29" ht="19.5" thickBot="1" x14ac:dyDescent="0.45">
      <c r="A3" s="25" t="s">
        <v>35</v>
      </c>
      <c r="B3" s="26"/>
      <c r="C3" s="9">
        <v>-0.32967032967032972</v>
      </c>
      <c r="D3" s="10" t="str">
        <f>IF(C3="","",IF(C3&lt;0,"×", "○"))</f>
        <v>×</v>
      </c>
      <c r="F3" s="6" t="s">
        <v>40</v>
      </c>
      <c r="G3" s="29">
        <f>SUBTOTAL(1, H11:H200)</f>
        <v>75.549450549450555</v>
      </c>
      <c r="H3" s="29"/>
      <c r="I3" s="29">
        <f>SUBTOTAL(1, J11:J200)</f>
        <v>77.197802197802204</v>
      </c>
      <c r="J3" s="29"/>
      <c r="K3" s="29">
        <f>SUBTOTAL(1, L11:L200)</f>
        <v>76.098901098901095</v>
      </c>
      <c r="L3" s="29"/>
      <c r="M3" s="29">
        <f>SUBTOTAL(1, N11:N200)</f>
        <v>71.311475409836063</v>
      </c>
      <c r="N3" s="29"/>
      <c r="O3" s="19">
        <f>SUBTOTAL(1,P11:P205)</f>
        <v>77.197802197802204</v>
      </c>
      <c r="P3" s="20"/>
      <c r="Q3" s="29">
        <f>SUBTOTAL(1, R11:R200)</f>
        <v>80.769230769230774</v>
      </c>
      <c r="R3" s="29"/>
      <c r="S3" s="19">
        <f>SUBTOTAL(1, T11:T200)</f>
        <v>84.615384615384613</v>
      </c>
      <c r="T3" s="20"/>
      <c r="U3" s="19">
        <f>SUBTOTAL(1, V11:V200)</f>
        <v>83.196721311475414</v>
      </c>
      <c r="V3" s="20"/>
      <c r="W3" s="19">
        <f>SUBTOTAL(1,X11:X205)</f>
        <v>84.890109890109883</v>
      </c>
      <c r="X3" s="20"/>
      <c r="Y3" s="19">
        <f>SUBTOTAL(1, Z11:Z200)</f>
        <v>73.60109890109895</v>
      </c>
      <c r="Z3" s="20"/>
      <c r="AA3" s="17">
        <f>SUBTOTAL(1, AA11:AA205)</f>
        <v>6.6263736263736268</v>
      </c>
    </row>
    <row r="4" spans="1:29" ht="19.5" thickBot="1" x14ac:dyDescent="0.45">
      <c r="A4" s="27" t="s">
        <v>36</v>
      </c>
      <c r="B4" s="28"/>
      <c r="C4" s="11">
        <f>showNpsAfterFilter(AA11:AA205)</f>
        <v>-0.32967032967032972</v>
      </c>
      <c r="D4" s="12" t="str">
        <f>IF(C4="","",IF(C4&lt;0,"×", "○"))</f>
        <v>×</v>
      </c>
    </row>
    <row r="5" spans="1:29" ht="19.5" thickBot="1" x14ac:dyDescent="0.45"/>
    <row r="6" spans="1:29" x14ac:dyDescent="0.4">
      <c r="A6" s="21" t="s">
        <v>42</v>
      </c>
      <c r="B6" s="22"/>
      <c r="C6" s="7">
        <f>COUNT(A11:A200)</f>
        <v>91</v>
      </c>
    </row>
    <row r="7" spans="1:29" ht="19.5" thickBot="1" x14ac:dyDescent="0.45">
      <c r="A7" s="23" t="s">
        <v>43</v>
      </c>
      <c r="B7" s="24"/>
      <c r="C7" s="8">
        <f>SUBTOTAL(2, A11:A200)</f>
        <v>91</v>
      </c>
    </row>
    <row r="10" spans="1:29" x14ac:dyDescent="0.4">
      <c r="A10" s="1" t="s">
        <v>7</v>
      </c>
      <c r="B10" s="1" t="s">
        <v>0</v>
      </c>
      <c r="C10" s="1" t="s">
        <v>1</v>
      </c>
      <c r="D10" s="1" t="s">
        <v>3</v>
      </c>
      <c r="E10" s="1" t="s">
        <v>2</v>
      </c>
      <c r="F10" s="4" t="s">
        <v>34</v>
      </c>
      <c r="G10" s="1" t="s">
        <v>4</v>
      </c>
      <c r="I10" s="1" t="s">
        <v>49</v>
      </c>
      <c r="K10" s="1" t="s">
        <v>50</v>
      </c>
      <c r="M10" s="1" t="s">
        <v>51</v>
      </c>
      <c r="O10" s="4" t="s">
        <v>55</v>
      </c>
      <c r="Q10" s="1" t="s">
        <v>52</v>
      </c>
      <c r="S10" s="4" t="s">
        <v>53</v>
      </c>
      <c r="U10" s="4" t="s">
        <v>54</v>
      </c>
      <c r="W10" s="4" t="s">
        <v>56</v>
      </c>
      <c r="Y10" s="4" t="s">
        <v>5</v>
      </c>
      <c r="AA10" s="4" t="s">
        <v>6</v>
      </c>
    </row>
    <row r="11" spans="1:29" x14ac:dyDescent="0.4">
      <c r="A11" s="2">
        <v>8255859</v>
      </c>
      <c r="B11" s="2" t="s">
        <v>8</v>
      </c>
      <c r="C11" s="2" t="s">
        <v>10</v>
      </c>
      <c r="D11" s="2" t="s">
        <v>15</v>
      </c>
      <c r="E11" s="2" t="s">
        <v>17</v>
      </c>
      <c r="F11" s="2" t="s">
        <v>37</v>
      </c>
      <c r="G11" s="2" t="s">
        <v>21</v>
      </c>
      <c r="H11" s="4">
        <f>IF(G11="", "", IF(G11="非常に満足", 100, IF(G11="やや満足", 75, IF(G11="どちらともいえない", 50, IF(G11="やや不満", 25, IF(G11="非常に不満", 0, ""))))))</f>
        <v>100</v>
      </c>
      <c r="I11" s="2" t="s">
        <v>21</v>
      </c>
      <c r="J11" s="4">
        <f>IF(I11="", "", IF(I11="非常に満足", 100, IF(I11="やや満足", 75, IF(I11="どちらともいえない", 50, IF(I11="やや不満", 25, IF(I11="非常に不満", 0, ""))))))</f>
        <v>100</v>
      </c>
      <c r="K11" s="2" t="s">
        <v>21</v>
      </c>
      <c r="L11" s="4">
        <f>IF(K11="", "", IF(K11="非常に満足", 100, IF(K11="やや満足", 75, IF(K11="どちらともいえない", 50, IF(K11="やや不満", 25, IF(K11="非常に不満", 0, ""))))))</f>
        <v>100</v>
      </c>
      <c r="M11" s="2" t="s">
        <v>24</v>
      </c>
      <c r="N11" s="4">
        <f>IF(M11="", "", IF(M11="非常に満足", 100, IF(M11="やや満足", 75, IF(M11="どちらともいえない", 50, IF(M11="やや不満", 25, IF(M11="非常に不満", 0, ""))))))</f>
        <v>50</v>
      </c>
      <c r="O11" s="2" t="s">
        <v>22</v>
      </c>
      <c r="P11" s="4">
        <f>IF(O11="", "", IF(O11="非常に満足", 100, IF(O11="やや満足", 75, IF(O11="どちらともいえない", 50, IF(O11="やや不満", 25, IF(O11="非常に不満", 0, ""))))))</f>
        <v>75</v>
      </c>
      <c r="Q11" s="2" t="s">
        <v>26</v>
      </c>
      <c r="R11" s="18">
        <f>IF(Q11="", "", IF(Q11="非常に重要である", 100, IF(Q11="やや重要である", 75, IF(Q11="どちらともいえない", 50, IF(Q11="あまり重要でない", 25, IF(Q11="全く重要でない", 0, ""))))))</f>
        <v>75</v>
      </c>
      <c r="S11" s="2" t="s">
        <v>27</v>
      </c>
      <c r="T11" s="4">
        <f>IF(S11="", "", IF(S11="非常に重要である", 100, IF(S11="やや重要である", 75, IF(S11="どちらともいえない", 50, IF(S11="あまり重要でない", 25, IF(S11="全く重要でない", 0, ""))))))</f>
        <v>100</v>
      </c>
      <c r="U11" s="2" t="s">
        <v>27</v>
      </c>
      <c r="V11" s="4">
        <f>IF(U11="", "", IF(U11="非常に重要である", 100, IF(U11="やや重要である", 75, IF(U11="どちらともいえない", 50, IF(U11="あまり重要でない", 25, IF(U11="全く重要でない", 0, ""))))))</f>
        <v>100</v>
      </c>
      <c r="W11" s="2" t="s">
        <v>27</v>
      </c>
      <c r="X11" s="4">
        <f>IF(W11="", "", IF(W11="非常に重要である", 100, IF(W11="やや重要である", 75, IF(W11="どちらともいえない", 50, IF(W11="あまり重要でない", 25, IF(W11="全く重要でない", 0, ""))))))</f>
        <v>100</v>
      </c>
      <c r="Y11" s="2" t="s">
        <v>30</v>
      </c>
      <c r="Z11" s="4">
        <f>IF(Y11="", "", IF(Y11="ぜひ利用したい", 100, IF(Y11="まあ利用したい", 66.6, IF(Y11="どちらともいえない", 33.3, IF(Y11="あまり利用したくない", 0, IF(Y11="全く利用したくない", 0, ""))))))</f>
        <v>100</v>
      </c>
      <c r="AA11" s="2">
        <v>10</v>
      </c>
      <c r="AC11" s="2"/>
    </row>
    <row r="12" spans="1:29" x14ac:dyDescent="0.4">
      <c r="A12" s="2">
        <v>8267183</v>
      </c>
      <c r="B12" s="2" t="s">
        <v>8</v>
      </c>
      <c r="C12" s="2" t="s">
        <v>11</v>
      </c>
      <c r="D12" s="2" t="s">
        <v>15</v>
      </c>
      <c r="E12" s="2" t="s">
        <v>17</v>
      </c>
      <c r="F12" s="2" t="s">
        <v>37</v>
      </c>
      <c r="G12" s="2" t="s">
        <v>22</v>
      </c>
      <c r="H12" s="4">
        <f t="shared" ref="H12:H75" si="0">IF(G12="", "", IF(G12="非常に満足", 100, IF(G12="やや満足", 75, IF(G12="どちらともいえない", 50, IF(G12="やや不満", 25, IF(G12="非常に不満", 0, ""))))))</f>
        <v>75</v>
      </c>
      <c r="I12" s="2" t="s">
        <v>24</v>
      </c>
      <c r="J12" s="4">
        <f t="shared" ref="J12:J75" si="1">IF(I12="", "", IF(I12="非常に満足", 100, IF(I12="やや満足", 75, IF(I12="どちらともいえない", 50, IF(I12="やや不満", 25, IF(I12="非常に不満", 0, ""))))))</f>
        <v>50</v>
      </c>
      <c r="K12" s="2" t="s">
        <v>22</v>
      </c>
      <c r="L12" s="4">
        <f t="shared" ref="L12:L75" si="2">IF(K12="", "", IF(K12="非常に満足", 100, IF(K12="やや満足", 75, IF(K12="どちらともいえない", 50, IF(K12="やや不満", 25, IF(K12="非常に不満", 0, ""))))))</f>
        <v>75</v>
      </c>
      <c r="M12" s="2" t="s">
        <v>24</v>
      </c>
      <c r="N12" s="4">
        <f t="shared" ref="N12:N75" si="3">IF(M12="", "", IF(M12="非常に満足", 100, IF(M12="やや満足", 75, IF(M12="どちらともいえない", 50, IF(M12="やや不満", 25, IF(M12="非常に不満", 0, ""))))))</f>
        <v>50</v>
      </c>
      <c r="O12" s="2" t="s">
        <v>24</v>
      </c>
      <c r="P12" s="4">
        <f t="shared" ref="P12:P75" si="4">IF(O12="", "", IF(O12="非常に満足", 100, IF(O12="やや満足", 75, IF(O12="どちらともいえない", 50, IF(O12="やや不満", 25, IF(O12="非常に不満", 0, ""))))))</f>
        <v>50</v>
      </c>
      <c r="Q12" s="2" t="s">
        <v>27</v>
      </c>
      <c r="R12" s="18">
        <f t="shared" ref="R12:R75" si="5">IF(Q12="", "", IF(Q12="非常に重要である", 100, IF(Q12="やや重要である", 75, IF(Q12="どちらともいえない", 50, IF(Q12="あまり重要でない", 25, IF(Q12="全く重要でない", 0, ""))))))</f>
        <v>100</v>
      </c>
      <c r="S12" s="2" t="s">
        <v>27</v>
      </c>
      <c r="T12" s="4">
        <f t="shared" ref="T12:T75" si="6">IF(S12="", "", IF(S12="非常に重要である", 100, IF(S12="やや重要である", 75, IF(S12="どちらともいえない", 50, IF(S12="あまり重要でない", 25, IF(S12="全く重要でない", 0, ""))))))</f>
        <v>100</v>
      </c>
      <c r="U12" s="2" t="s">
        <v>27</v>
      </c>
      <c r="V12" s="4">
        <f t="shared" ref="V12:V75" si="7">IF(U12="", "", IF(U12="非常に重要である", 100, IF(U12="やや重要である", 75, IF(U12="どちらともいえない", 50, IF(U12="あまり重要でない", 25, IF(U12="全く重要でない", 0, ""))))))</f>
        <v>100</v>
      </c>
      <c r="W12" s="2" t="s">
        <v>27</v>
      </c>
      <c r="X12" s="4">
        <f t="shared" ref="X12:X75" si="8">IF(W12="", "", IF(W12="非常に重要である", 100, IF(W12="やや重要である", 75, IF(W12="どちらともいえない", 50, IF(W12="あまり重要でない", 25, IF(W12="全く重要でない", 0, ""))))))</f>
        <v>100</v>
      </c>
      <c r="Y12" s="2" t="s">
        <v>31</v>
      </c>
      <c r="Z12" s="4">
        <f t="shared" ref="Z12:Z75" si="9">IF(Y12="", "", IF(Y12="ぜひ利用したい", 100, IF(Y12="まあ利用したい", 66.6, IF(Y12="どちらともいえない", 33.3, IF(Y12="あまり利用したくない", 0, IF(Y12="全く利用したくない", 0, ""))))))</f>
        <v>66.599999999999994</v>
      </c>
      <c r="AA12" s="2">
        <v>6</v>
      </c>
      <c r="AC12" s="2"/>
    </row>
    <row r="13" spans="1:29" x14ac:dyDescent="0.4">
      <c r="A13" s="2">
        <v>8279906</v>
      </c>
      <c r="B13" s="2" t="s">
        <v>8</v>
      </c>
      <c r="C13" s="2" t="s">
        <v>10</v>
      </c>
      <c r="D13" s="2" t="s">
        <v>15</v>
      </c>
      <c r="E13" s="2" t="s">
        <v>17</v>
      </c>
      <c r="F13" s="2" t="s">
        <v>37</v>
      </c>
      <c r="G13" s="2" t="s">
        <v>22</v>
      </c>
      <c r="H13" s="4">
        <f t="shared" si="0"/>
        <v>75</v>
      </c>
      <c r="I13" s="2" t="s">
        <v>22</v>
      </c>
      <c r="J13" s="4">
        <f t="shared" si="1"/>
        <v>75</v>
      </c>
      <c r="K13" s="2" t="s">
        <v>22</v>
      </c>
      <c r="L13" s="4">
        <f t="shared" si="2"/>
        <v>75</v>
      </c>
      <c r="M13" s="2" t="s">
        <v>22</v>
      </c>
      <c r="N13" s="4">
        <f t="shared" si="3"/>
        <v>75</v>
      </c>
      <c r="O13" s="2" t="s">
        <v>22</v>
      </c>
      <c r="P13" s="4">
        <f t="shared" si="4"/>
        <v>75</v>
      </c>
      <c r="Q13" s="2" t="s">
        <v>26</v>
      </c>
      <c r="R13" s="18">
        <f t="shared" si="5"/>
        <v>75</v>
      </c>
      <c r="S13" s="2" t="s">
        <v>27</v>
      </c>
      <c r="T13" s="4">
        <f t="shared" si="6"/>
        <v>100</v>
      </c>
      <c r="U13" s="2" t="s">
        <v>27</v>
      </c>
      <c r="V13" s="4">
        <f t="shared" si="7"/>
        <v>100</v>
      </c>
      <c r="W13" s="2" t="s">
        <v>26</v>
      </c>
      <c r="X13" s="4">
        <f t="shared" si="8"/>
        <v>75</v>
      </c>
      <c r="Y13" s="2" t="s">
        <v>30</v>
      </c>
      <c r="Z13" s="4">
        <f t="shared" si="9"/>
        <v>100</v>
      </c>
      <c r="AA13" s="2">
        <v>6</v>
      </c>
      <c r="AC13" s="2"/>
    </row>
    <row r="14" spans="1:29" x14ac:dyDescent="0.4">
      <c r="A14" s="2">
        <v>8285980</v>
      </c>
      <c r="B14" s="2" t="s">
        <v>9</v>
      </c>
      <c r="C14" s="2" t="s">
        <v>12</v>
      </c>
      <c r="D14" s="2" t="s">
        <v>16</v>
      </c>
      <c r="E14" s="2" t="s">
        <v>17</v>
      </c>
      <c r="F14" s="2" t="s">
        <v>38</v>
      </c>
      <c r="G14" s="2" t="s">
        <v>22</v>
      </c>
      <c r="H14" s="4">
        <f t="shared" si="0"/>
        <v>75</v>
      </c>
      <c r="I14" s="2" t="s">
        <v>21</v>
      </c>
      <c r="J14" s="4">
        <f t="shared" si="1"/>
        <v>100</v>
      </c>
      <c r="K14" s="2" t="s">
        <v>22</v>
      </c>
      <c r="L14" s="4">
        <f t="shared" si="2"/>
        <v>75</v>
      </c>
      <c r="M14" s="2" t="s">
        <v>22</v>
      </c>
      <c r="N14" s="4">
        <f t="shared" si="3"/>
        <v>75</v>
      </c>
      <c r="O14" s="2" t="s">
        <v>22</v>
      </c>
      <c r="P14" s="4">
        <f t="shared" si="4"/>
        <v>75</v>
      </c>
      <c r="Q14" s="2" t="s">
        <v>26</v>
      </c>
      <c r="R14" s="18">
        <f t="shared" si="5"/>
        <v>75</v>
      </c>
      <c r="S14" s="2" t="s">
        <v>26</v>
      </c>
      <c r="T14" s="4">
        <f t="shared" si="6"/>
        <v>75</v>
      </c>
      <c r="U14" s="2" t="s">
        <v>26</v>
      </c>
      <c r="V14" s="4">
        <f t="shared" si="7"/>
        <v>75</v>
      </c>
      <c r="W14" s="2" t="s">
        <v>26</v>
      </c>
      <c r="X14" s="4">
        <f t="shared" si="8"/>
        <v>75</v>
      </c>
      <c r="Y14" s="2" t="s">
        <v>31</v>
      </c>
      <c r="Z14" s="4">
        <f t="shared" si="9"/>
        <v>66.599999999999994</v>
      </c>
      <c r="AA14" s="2">
        <v>6</v>
      </c>
      <c r="AC14" s="2"/>
    </row>
    <row r="15" spans="1:29" x14ac:dyDescent="0.4">
      <c r="A15" s="2">
        <v>8308114</v>
      </c>
      <c r="B15" s="2" t="s">
        <v>8</v>
      </c>
      <c r="C15" s="2" t="s">
        <v>12</v>
      </c>
      <c r="D15" s="2" t="s">
        <v>16</v>
      </c>
      <c r="E15" s="2" t="s">
        <v>18</v>
      </c>
      <c r="F15" s="2" t="s">
        <v>39</v>
      </c>
      <c r="G15" s="2" t="s">
        <v>21</v>
      </c>
      <c r="H15" s="4">
        <f t="shared" si="0"/>
        <v>100</v>
      </c>
      <c r="I15" s="2" t="s">
        <v>21</v>
      </c>
      <c r="J15" s="4">
        <f t="shared" si="1"/>
        <v>100</v>
      </c>
      <c r="K15" s="2" t="s">
        <v>21</v>
      </c>
      <c r="L15" s="4">
        <f t="shared" si="2"/>
        <v>100</v>
      </c>
      <c r="M15" s="2"/>
      <c r="N15" s="4" t="str">
        <f t="shared" si="3"/>
        <v/>
      </c>
      <c r="O15" s="2" t="s">
        <v>21</v>
      </c>
      <c r="P15" s="4">
        <f t="shared" si="4"/>
        <v>100</v>
      </c>
      <c r="Q15" s="2" t="s">
        <v>27</v>
      </c>
      <c r="R15" s="18">
        <f t="shared" si="5"/>
        <v>100</v>
      </c>
      <c r="S15" s="2" t="s">
        <v>27</v>
      </c>
      <c r="T15" s="4">
        <f t="shared" si="6"/>
        <v>100</v>
      </c>
      <c r="U15" s="2"/>
      <c r="V15" s="4" t="str">
        <f t="shared" si="7"/>
        <v/>
      </c>
      <c r="W15" s="2" t="s">
        <v>27</v>
      </c>
      <c r="X15" s="4">
        <f t="shared" si="8"/>
        <v>100</v>
      </c>
      <c r="Y15" s="2" t="s">
        <v>30</v>
      </c>
      <c r="Z15" s="4">
        <f t="shared" si="9"/>
        <v>100</v>
      </c>
      <c r="AA15" s="2">
        <v>5</v>
      </c>
      <c r="AC15" s="2"/>
    </row>
    <row r="16" spans="1:29" x14ac:dyDescent="0.4">
      <c r="A16" s="2">
        <v>8328406</v>
      </c>
      <c r="B16" s="2" t="s">
        <v>8</v>
      </c>
      <c r="C16" s="2" t="s">
        <v>12</v>
      </c>
      <c r="D16" s="2" t="s">
        <v>15</v>
      </c>
      <c r="E16" s="2" t="s">
        <v>17</v>
      </c>
      <c r="F16" s="2" t="s">
        <v>39</v>
      </c>
      <c r="G16" s="2" t="s">
        <v>22</v>
      </c>
      <c r="H16" s="4">
        <f t="shared" si="0"/>
        <v>75</v>
      </c>
      <c r="I16" s="2" t="s">
        <v>22</v>
      </c>
      <c r="J16" s="4">
        <f t="shared" si="1"/>
        <v>75</v>
      </c>
      <c r="K16" s="2" t="s">
        <v>22</v>
      </c>
      <c r="L16" s="4">
        <f t="shared" si="2"/>
        <v>75</v>
      </c>
      <c r="M16" s="2"/>
      <c r="N16" s="4" t="str">
        <f t="shared" si="3"/>
        <v/>
      </c>
      <c r="O16" s="2" t="s">
        <v>22</v>
      </c>
      <c r="P16" s="4">
        <f t="shared" si="4"/>
        <v>75</v>
      </c>
      <c r="Q16" s="2" t="s">
        <v>26</v>
      </c>
      <c r="R16" s="18">
        <f t="shared" si="5"/>
        <v>75</v>
      </c>
      <c r="S16" s="2" t="s">
        <v>26</v>
      </c>
      <c r="T16" s="4">
        <f t="shared" si="6"/>
        <v>75</v>
      </c>
      <c r="U16" s="2"/>
      <c r="V16" s="4" t="str">
        <f t="shared" si="7"/>
        <v/>
      </c>
      <c r="W16" s="2" t="s">
        <v>26</v>
      </c>
      <c r="X16" s="4">
        <f t="shared" si="8"/>
        <v>75</v>
      </c>
      <c r="Y16" s="2" t="s">
        <v>30</v>
      </c>
      <c r="Z16" s="4">
        <f t="shared" si="9"/>
        <v>100</v>
      </c>
      <c r="AA16" s="2">
        <v>7</v>
      </c>
      <c r="AC16" s="2"/>
    </row>
    <row r="17" spans="1:29" x14ac:dyDescent="0.4">
      <c r="A17" s="2">
        <v>8338218</v>
      </c>
      <c r="B17" s="2" t="s">
        <v>9</v>
      </c>
      <c r="C17" s="2" t="s">
        <v>13</v>
      </c>
      <c r="D17" s="2" t="s">
        <v>16</v>
      </c>
      <c r="E17" s="2" t="s">
        <v>17</v>
      </c>
      <c r="F17" s="2" t="s">
        <v>38</v>
      </c>
      <c r="G17" s="2" t="s">
        <v>23</v>
      </c>
      <c r="H17" s="4">
        <f t="shared" si="0"/>
        <v>25</v>
      </c>
      <c r="I17" s="2" t="s">
        <v>23</v>
      </c>
      <c r="J17" s="4">
        <f t="shared" si="1"/>
        <v>25</v>
      </c>
      <c r="K17" s="2" t="s">
        <v>22</v>
      </c>
      <c r="L17" s="4">
        <f t="shared" si="2"/>
        <v>75</v>
      </c>
      <c r="M17" s="2" t="s">
        <v>22</v>
      </c>
      <c r="N17" s="4">
        <f t="shared" si="3"/>
        <v>75</v>
      </c>
      <c r="O17" s="2" t="s">
        <v>24</v>
      </c>
      <c r="P17" s="4">
        <f t="shared" si="4"/>
        <v>50</v>
      </c>
      <c r="Q17" s="2" t="s">
        <v>27</v>
      </c>
      <c r="R17" s="18">
        <f t="shared" si="5"/>
        <v>100</v>
      </c>
      <c r="S17" s="2" t="s">
        <v>24</v>
      </c>
      <c r="T17" s="4">
        <f t="shared" si="6"/>
        <v>50</v>
      </c>
      <c r="U17" s="2" t="s">
        <v>26</v>
      </c>
      <c r="V17" s="4">
        <f t="shared" si="7"/>
        <v>75</v>
      </c>
      <c r="W17" s="2" t="s">
        <v>27</v>
      </c>
      <c r="X17" s="4">
        <f t="shared" si="8"/>
        <v>100</v>
      </c>
      <c r="Y17" s="2" t="s">
        <v>24</v>
      </c>
      <c r="Z17" s="4">
        <f t="shared" si="9"/>
        <v>33.299999999999997</v>
      </c>
      <c r="AA17" s="2">
        <v>10</v>
      </c>
      <c r="AC17" s="2"/>
    </row>
    <row r="18" spans="1:29" x14ac:dyDescent="0.4">
      <c r="A18" s="2">
        <v>8339519</v>
      </c>
      <c r="B18" s="2" t="s">
        <v>8</v>
      </c>
      <c r="C18" s="2" t="s">
        <v>12</v>
      </c>
      <c r="D18" s="2" t="s">
        <v>15</v>
      </c>
      <c r="E18" s="2" t="s">
        <v>19</v>
      </c>
      <c r="F18" s="2" t="s">
        <v>37</v>
      </c>
      <c r="G18" s="2" t="s">
        <v>22</v>
      </c>
      <c r="H18" s="4">
        <f t="shared" si="0"/>
        <v>75</v>
      </c>
      <c r="I18" s="2" t="s">
        <v>22</v>
      </c>
      <c r="J18" s="4">
        <f t="shared" si="1"/>
        <v>75</v>
      </c>
      <c r="K18" s="2" t="s">
        <v>22</v>
      </c>
      <c r="L18" s="4">
        <f t="shared" si="2"/>
        <v>75</v>
      </c>
      <c r="M18" s="2" t="s">
        <v>22</v>
      </c>
      <c r="N18" s="4">
        <f t="shared" si="3"/>
        <v>75</v>
      </c>
      <c r="O18" s="2" t="s">
        <v>22</v>
      </c>
      <c r="P18" s="4">
        <f t="shared" si="4"/>
        <v>75</v>
      </c>
      <c r="Q18" s="2" t="s">
        <v>26</v>
      </c>
      <c r="R18" s="18">
        <f t="shared" si="5"/>
        <v>75</v>
      </c>
      <c r="S18" s="2" t="s">
        <v>26</v>
      </c>
      <c r="T18" s="4">
        <f t="shared" si="6"/>
        <v>75</v>
      </c>
      <c r="U18" s="2" t="s">
        <v>26</v>
      </c>
      <c r="V18" s="4">
        <f t="shared" si="7"/>
        <v>75</v>
      </c>
      <c r="W18" s="2" t="s">
        <v>26</v>
      </c>
      <c r="X18" s="4">
        <f t="shared" si="8"/>
        <v>75</v>
      </c>
      <c r="Y18" s="2" t="s">
        <v>31</v>
      </c>
      <c r="Z18" s="4">
        <f t="shared" si="9"/>
        <v>66.599999999999994</v>
      </c>
      <c r="AA18" s="2">
        <v>5</v>
      </c>
      <c r="AC18" s="2"/>
    </row>
    <row r="19" spans="1:29" x14ac:dyDescent="0.4">
      <c r="A19" s="2">
        <v>8343429</v>
      </c>
      <c r="B19" s="2" t="s">
        <v>9</v>
      </c>
      <c r="C19" s="2" t="s">
        <v>11</v>
      </c>
      <c r="D19" s="2" t="s">
        <v>15</v>
      </c>
      <c r="E19" s="2" t="s">
        <v>17</v>
      </c>
      <c r="F19" s="2" t="s">
        <v>37</v>
      </c>
      <c r="G19" s="2" t="s">
        <v>22</v>
      </c>
      <c r="H19" s="4">
        <f t="shared" si="0"/>
        <v>75</v>
      </c>
      <c r="I19" s="2" t="s">
        <v>22</v>
      </c>
      <c r="J19" s="4">
        <f t="shared" si="1"/>
        <v>75</v>
      </c>
      <c r="K19" s="2" t="s">
        <v>22</v>
      </c>
      <c r="L19" s="4">
        <f t="shared" si="2"/>
        <v>75</v>
      </c>
      <c r="M19" s="2" t="s">
        <v>22</v>
      </c>
      <c r="N19" s="4">
        <f t="shared" si="3"/>
        <v>75</v>
      </c>
      <c r="O19" s="2" t="s">
        <v>22</v>
      </c>
      <c r="P19" s="4">
        <f t="shared" si="4"/>
        <v>75</v>
      </c>
      <c r="Q19" s="2" t="s">
        <v>27</v>
      </c>
      <c r="R19" s="18">
        <f t="shared" si="5"/>
        <v>100</v>
      </c>
      <c r="S19" s="2" t="s">
        <v>26</v>
      </c>
      <c r="T19" s="4">
        <f t="shared" si="6"/>
        <v>75</v>
      </c>
      <c r="U19" s="2" t="s">
        <v>26</v>
      </c>
      <c r="V19" s="4">
        <f t="shared" si="7"/>
        <v>75</v>
      </c>
      <c r="W19" s="2" t="s">
        <v>26</v>
      </c>
      <c r="X19" s="4">
        <f t="shared" si="8"/>
        <v>75</v>
      </c>
      <c r="Y19" s="2" t="s">
        <v>31</v>
      </c>
      <c r="Z19" s="4">
        <f t="shared" si="9"/>
        <v>66.599999999999994</v>
      </c>
      <c r="AA19" s="2">
        <v>6</v>
      </c>
      <c r="AC19" s="2"/>
    </row>
    <row r="20" spans="1:29" x14ac:dyDescent="0.4">
      <c r="A20" s="2">
        <v>8346846</v>
      </c>
      <c r="B20" s="2" t="s">
        <v>9</v>
      </c>
      <c r="C20" s="2" t="s">
        <v>12</v>
      </c>
      <c r="D20" s="2" t="s">
        <v>15</v>
      </c>
      <c r="E20" s="2" t="s">
        <v>18</v>
      </c>
      <c r="F20" s="2" t="s">
        <v>38</v>
      </c>
      <c r="G20" s="2" t="s">
        <v>22</v>
      </c>
      <c r="H20" s="4">
        <f t="shared" si="0"/>
        <v>75</v>
      </c>
      <c r="I20" s="2" t="s">
        <v>21</v>
      </c>
      <c r="J20" s="4">
        <f t="shared" si="1"/>
        <v>100</v>
      </c>
      <c r="K20" s="2" t="s">
        <v>22</v>
      </c>
      <c r="L20" s="4">
        <f t="shared" si="2"/>
        <v>75</v>
      </c>
      <c r="M20" s="2" t="s">
        <v>22</v>
      </c>
      <c r="N20" s="4">
        <f t="shared" si="3"/>
        <v>75</v>
      </c>
      <c r="O20" s="2" t="s">
        <v>21</v>
      </c>
      <c r="P20" s="4">
        <f t="shared" si="4"/>
        <v>100</v>
      </c>
      <c r="Q20" s="2" t="s">
        <v>24</v>
      </c>
      <c r="R20" s="18">
        <f t="shared" si="5"/>
        <v>50</v>
      </c>
      <c r="S20" s="2" t="s">
        <v>27</v>
      </c>
      <c r="T20" s="4">
        <f t="shared" si="6"/>
        <v>100</v>
      </c>
      <c r="U20" s="2" t="s">
        <v>27</v>
      </c>
      <c r="V20" s="4">
        <f t="shared" si="7"/>
        <v>100</v>
      </c>
      <c r="W20" s="2" t="s">
        <v>27</v>
      </c>
      <c r="X20" s="4">
        <f t="shared" si="8"/>
        <v>100</v>
      </c>
      <c r="Y20" s="2" t="s">
        <v>30</v>
      </c>
      <c r="Z20" s="4">
        <f t="shared" si="9"/>
        <v>100</v>
      </c>
      <c r="AA20" s="2">
        <v>5</v>
      </c>
      <c r="AC20" s="2"/>
    </row>
    <row r="21" spans="1:29" x14ac:dyDescent="0.4">
      <c r="A21" s="2">
        <v>8362366</v>
      </c>
      <c r="B21" s="2" t="s">
        <v>9</v>
      </c>
      <c r="C21" s="2" t="s">
        <v>13</v>
      </c>
      <c r="D21" s="2" t="s">
        <v>16</v>
      </c>
      <c r="E21" s="2" t="s">
        <v>17</v>
      </c>
      <c r="F21" s="2" t="s">
        <v>37</v>
      </c>
      <c r="G21" s="2" t="s">
        <v>24</v>
      </c>
      <c r="H21" s="4">
        <f t="shared" si="0"/>
        <v>50</v>
      </c>
      <c r="I21" s="2" t="s">
        <v>22</v>
      </c>
      <c r="J21" s="4">
        <f t="shared" si="1"/>
        <v>75</v>
      </c>
      <c r="K21" s="2" t="s">
        <v>24</v>
      </c>
      <c r="L21" s="4">
        <f t="shared" si="2"/>
        <v>50</v>
      </c>
      <c r="M21" s="2" t="s">
        <v>22</v>
      </c>
      <c r="N21" s="4">
        <f t="shared" si="3"/>
        <v>75</v>
      </c>
      <c r="O21" s="2" t="s">
        <v>23</v>
      </c>
      <c r="P21" s="4">
        <f t="shared" si="4"/>
        <v>25</v>
      </c>
      <c r="Q21" s="2" t="s">
        <v>24</v>
      </c>
      <c r="R21" s="18">
        <f t="shared" si="5"/>
        <v>50</v>
      </c>
      <c r="S21" s="2" t="s">
        <v>24</v>
      </c>
      <c r="T21" s="4">
        <f t="shared" si="6"/>
        <v>50</v>
      </c>
      <c r="U21" s="2" t="s">
        <v>24</v>
      </c>
      <c r="V21" s="4">
        <f t="shared" si="7"/>
        <v>50</v>
      </c>
      <c r="W21" s="2" t="s">
        <v>29</v>
      </c>
      <c r="X21" s="4">
        <f t="shared" si="8"/>
        <v>25</v>
      </c>
      <c r="Y21" s="2" t="s">
        <v>32</v>
      </c>
      <c r="Z21" s="4">
        <f t="shared" si="9"/>
        <v>0</v>
      </c>
      <c r="AA21" s="2">
        <v>6</v>
      </c>
      <c r="AC21" s="2"/>
    </row>
    <row r="22" spans="1:29" x14ac:dyDescent="0.4">
      <c r="A22" s="2">
        <v>8372986</v>
      </c>
      <c r="B22" s="2" t="s">
        <v>9</v>
      </c>
      <c r="C22" s="2" t="s">
        <v>13</v>
      </c>
      <c r="D22" s="2" t="s">
        <v>15</v>
      </c>
      <c r="E22" s="2" t="s">
        <v>18</v>
      </c>
      <c r="F22" s="2" t="s">
        <v>38</v>
      </c>
      <c r="G22" s="2" t="s">
        <v>21</v>
      </c>
      <c r="H22" s="4">
        <f t="shared" si="0"/>
        <v>100</v>
      </c>
      <c r="I22" s="2" t="s">
        <v>21</v>
      </c>
      <c r="J22" s="4">
        <f t="shared" si="1"/>
        <v>100</v>
      </c>
      <c r="K22" s="2" t="s">
        <v>21</v>
      </c>
      <c r="L22" s="4">
        <f t="shared" si="2"/>
        <v>100</v>
      </c>
      <c r="M22" s="2" t="s">
        <v>21</v>
      </c>
      <c r="N22" s="4">
        <f t="shared" si="3"/>
        <v>100</v>
      </c>
      <c r="O22" s="2" t="s">
        <v>21</v>
      </c>
      <c r="P22" s="4">
        <f t="shared" si="4"/>
        <v>100</v>
      </c>
      <c r="Q22" s="2" t="s">
        <v>27</v>
      </c>
      <c r="R22" s="18">
        <f t="shared" si="5"/>
        <v>100</v>
      </c>
      <c r="S22" s="2" t="s">
        <v>27</v>
      </c>
      <c r="T22" s="4">
        <f t="shared" si="6"/>
        <v>100</v>
      </c>
      <c r="U22" s="2" t="s">
        <v>27</v>
      </c>
      <c r="V22" s="4">
        <f t="shared" si="7"/>
        <v>100</v>
      </c>
      <c r="W22" s="2" t="s">
        <v>27</v>
      </c>
      <c r="X22" s="4">
        <f t="shared" si="8"/>
        <v>100</v>
      </c>
      <c r="Y22" s="2" t="s">
        <v>30</v>
      </c>
      <c r="Z22" s="4">
        <f t="shared" si="9"/>
        <v>100</v>
      </c>
      <c r="AA22" s="2">
        <v>8</v>
      </c>
      <c r="AC22" s="2"/>
    </row>
    <row r="23" spans="1:29" x14ac:dyDescent="0.4">
      <c r="A23" s="2">
        <v>8375194</v>
      </c>
      <c r="B23" s="2" t="s">
        <v>8</v>
      </c>
      <c r="C23" s="2" t="s">
        <v>13</v>
      </c>
      <c r="D23" s="2" t="s">
        <v>15</v>
      </c>
      <c r="E23" s="2" t="s">
        <v>20</v>
      </c>
      <c r="F23" s="2" t="s">
        <v>39</v>
      </c>
      <c r="G23" s="2" t="s">
        <v>21</v>
      </c>
      <c r="H23" s="4">
        <f t="shared" si="0"/>
        <v>100</v>
      </c>
      <c r="I23" s="2" t="s">
        <v>21</v>
      </c>
      <c r="J23" s="4">
        <f t="shared" si="1"/>
        <v>100</v>
      </c>
      <c r="K23" s="2" t="s">
        <v>21</v>
      </c>
      <c r="L23" s="4">
        <f t="shared" si="2"/>
        <v>100</v>
      </c>
      <c r="M23" s="2"/>
      <c r="N23" s="4" t="str">
        <f t="shared" si="3"/>
        <v/>
      </c>
      <c r="O23" s="2" t="s">
        <v>21</v>
      </c>
      <c r="P23" s="4">
        <f t="shared" si="4"/>
        <v>100</v>
      </c>
      <c r="Q23" s="2" t="s">
        <v>27</v>
      </c>
      <c r="R23" s="18">
        <f t="shared" si="5"/>
        <v>100</v>
      </c>
      <c r="S23" s="2" t="s">
        <v>27</v>
      </c>
      <c r="T23" s="4">
        <f t="shared" si="6"/>
        <v>100</v>
      </c>
      <c r="U23" s="2"/>
      <c r="V23" s="4" t="str">
        <f t="shared" si="7"/>
        <v/>
      </c>
      <c r="W23" s="2" t="s">
        <v>27</v>
      </c>
      <c r="X23" s="4">
        <f t="shared" si="8"/>
        <v>100</v>
      </c>
      <c r="Y23" s="2" t="s">
        <v>30</v>
      </c>
      <c r="Z23" s="4">
        <f t="shared" si="9"/>
        <v>100</v>
      </c>
      <c r="AA23" s="2">
        <v>10</v>
      </c>
      <c r="AC23" s="2"/>
    </row>
    <row r="24" spans="1:29" x14ac:dyDescent="0.4">
      <c r="A24" s="2">
        <v>8376688</v>
      </c>
      <c r="B24" s="2" t="s">
        <v>8</v>
      </c>
      <c r="C24" s="2" t="s">
        <v>14</v>
      </c>
      <c r="D24" s="2" t="s">
        <v>16</v>
      </c>
      <c r="E24" s="2" t="s">
        <v>17</v>
      </c>
      <c r="F24" s="2" t="s">
        <v>38</v>
      </c>
      <c r="G24" s="2" t="s">
        <v>22</v>
      </c>
      <c r="H24" s="4">
        <f t="shared" si="0"/>
        <v>75</v>
      </c>
      <c r="I24" s="2" t="s">
        <v>22</v>
      </c>
      <c r="J24" s="4">
        <f t="shared" si="1"/>
        <v>75</v>
      </c>
      <c r="K24" s="2" t="s">
        <v>22</v>
      </c>
      <c r="L24" s="4">
        <f t="shared" si="2"/>
        <v>75</v>
      </c>
      <c r="M24" s="2" t="s">
        <v>22</v>
      </c>
      <c r="N24" s="4">
        <f t="shared" si="3"/>
        <v>75</v>
      </c>
      <c r="O24" s="2" t="s">
        <v>22</v>
      </c>
      <c r="P24" s="4">
        <f t="shared" si="4"/>
        <v>75</v>
      </c>
      <c r="Q24" s="2" t="s">
        <v>26</v>
      </c>
      <c r="R24" s="18">
        <f t="shared" si="5"/>
        <v>75</v>
      </c>
      <c r="S24" s="2" t="s">
        <v>26</v>
      </c>
      <c r="T24" s="4">
        <f t="shared" si="6"/>
        <v>75</v>
      </c>
      <c r="U24" s="2" t="s">
        <v>26</v>
      </c>
      <c r="V24" s="4">
        <f t="shared" si="7"/>
        <v>75</v>
      </c>
      <c r="W24" s="2" t="s">
        <v>26</v>
      </c>
      <c r="X24" s="4">
        <f t="shared" si="8"/>
        <v>75</v>
      </c>
      <c r="Y24" s="2" t="s">
        <v>31</v>
      </c>
      <c r="Z24" s="4">
        <f t="shared" si="9"/>
        <v>66.599999999999994</v>
      </c>
      <c r="AA24" s="2">
        <v>6</v>
      </c>
      <c r="AC24" s="2"/>
    </row>
    <row r="25" spans="1:29" x14ac:dyDescent="0.4">
      <c r="A25" s="2">
        <v>8379728</v>
      </c>
      <c r="B25" s="2" t="s">
        <v>8</v>
      </c>
      <c r="C25" s="2" t="s">
        <v>11</v>
      </c>
      <c r="D25" s="2" t="s">
        <v>15</v>
      </c>
      <c r="E25" s="2" t="s">
        <v>17</v>
      </c>
      <c r="F25" s="2" t="s">
        <v>38</v>
      </c>
      <c r="G25" s="2" t="s">
        <v>22</v>
      </c>
      <c r="H25" s="4">
        <f t="shared" si="0"/>
        <v>75</v>
      </c>
      <c r="I25" s="2" t="s">
        <v>22</v>
      </c>
      <c r="J25" s="4">
        <f t="shared" si="1"/>
        <v>75</v>
      </c>
      <c r="K25" s="2" t="s">
        <v>24</v>
      </c>
      <c r="L25" s="4">
        <f t="shared" si="2"/>
        <v>50</v>
      </c>
      <c r="M25" s="2" t="s">
        <v>22</v>
      </c>
      <c r="N25" s="4">
        <f t="shared" si="3"/>
        <v>75</v>
      </c>
      <c r="O25" s="2" t="s">
        <v>22</v>
      </c>
      <c r="P25" s="4">
        <f t="shared" si="4"/>
        <v>75</v>
      </c>
      <c r="Q25" s="2" t="s">
        <v>26</v>
      </c>
      <c r="R25" s="18">
        <f t="shared" si="5"/>
        <v>75</v>
      </c>
      <c r="S25" s="2" t="s">
        <v>26</v>
      </c>
      <c r="T25" s="4">
        <f t="shared" si="6"/>
        <v>75</v>
      </c>
      <c r="U25" s="2" t="s">
        <v>26</v>
      </c>
      <c r="V25" s="4">
        <f t="shared" si="7"/>
        <v>75</v>
      </c>
      <c r="W25" s="2" t="s">
        <v>26</v>
      </c>
      <c r="X25" s="4">
        <f t="shared" si="8"/>
        <v>75</v>
      </c>
      <c r="Y25" s="2" t="s">
        <v>30</v>
      </c>
      <c r="Z25" s="4">
        <f t="shared" si="9"/>
        <v>100</v>
      </c>
      <c r="AA25" s="2">
        <v>5</v>
      </c>
      <c r="AC25" s="2"/>
    </row>
    <row r="26" spans="1:29" x14ac:dyDescent="0.4">
      <c r="A26" s="2">
        <v>8385056</v>
      </c>
      <c r="B26" s="2" t="s">
        <v>9</v>
      </c>
      <c r="C26" s="2" t="s">
        <v>11</v>
      </c>
      <c r="D26" s="2" t="s">
        <v>15</v>
      </c>
      <c r="E26" s="2" t="s">
        <v>17</v>
      </c>
      <c r="F26" s="2" t="s">
        <v>38</v>
      </c>
      <c r="G26" s="2" t="s">
        <v>22</v>
      </c>
      <c r="H26" s="4">
        <f t="shared" si="0"/>
        <v>75</v>
      </c>
      <c r="I26" s="2" t="s">
        <v>22</v>
      </c>
      <c r="J26" s="4">
        <f t="shared" si="1"/>
        <v>75</v>
      </c>
      <c r="K26" s="2" t="s">
        <v>22</v>
      </c>
      <c r="L26" s="4">
        <f t="shared" si="2"/>
        <v>75</v>
      </c>
      <c r="M26" s="2" t="s">
        <v>22</v>
      </c>
      <c r="N26" s="4">
        <f t="shared" si="3"/>
        <v>75</v>
      </c>
      <c r="O26" s="2" t="s">
        <v>21</v>
      </c>
      <c r="P26" s="4">
        <f t="shared" si="4"/>
        <v>100</v>
      </c>
      <c r="Q26" s="2" t="s">
        <v>26</v>
      </c>
      <c r="R26" s="18">
        <f t="shared" si="5"/>
        <v>75</v>
      </c>
      <c r="S26" s="2" t="s">
        <v>26</v>
      </c>
      <c r="T26" s="4">
        <f t="shared" si="6"/>
        <v>75</v>
      </c>
      <c r="U26" s="2" t="s">
        <v>27</v>
      </c>
      <c r="V26" s="4">
        <f t="shared" si="7"/>
        <v>100</v>
      </c>
      <c r="W26" s="2" t="s">
        <v>27</v>
      </c>
      <c r="X26" s="4">
        <f t="shared" si="8"/>
        <v>100</v>
      </c>
      <c r="Y26" s="2" t="s">
        <v>31</v>
      </c>
      <c r="Z26" s="4">
        <f t="shared" si="9"/>
        <v>66.599999999999994</v>
      </c>
      <c r="AA26" s="2">
        <v>6</v>
      </c>
      <c r="AC26" s="2"/>
    </row>
    <row r="27" spans="1:29" x14ac:dyDescent="0.4">
      <c r="A27" s="2">
        <v>8387974</v>
      </c>
      <c r="B27" s="2" t="s">
        <v>8</v>
      </c>
      <c r="C27" s="2" t="s">
        <v>10</v>
      </c>
      <c r="D27" s="2" t="s">
        <v>16</v>
      </c>
      <c r="E27" s="2" t="s">
        <v>17</v>
      </c>
      <c r="F27" s="2" t="s">
        <v>39</v>
      </c>
      <c r="G27" s="2" t="s">
        <v>24</v>
      </c>
      <c r="H27" s="4">
        <f t="shared" si="0"/>
        <v>50</v>
      </c>
      <c r="I27" s="2" t="s">
        <v>22</v>
      </c>
      <c r="J27" s="4">
        <f t="shared" si="1"/>
        <v>75</v>
      </c>
      <c r="K27" s="2" t="s">
        <v>22</v>
      </c>
      <c r="L27" s="4">
        <f t="shared" si="2"/>
        <v>75</v>
      </c>
      <c r="M27" s="2"/>
      <c r="N27" s="4" t="str">
        <f t="shared" si="3"/>
        <v/>
      </c>
      <c r="O27" s="2" t="s">
        <v>22</v>
      </c>
      <c r="P27" s="4">
        <f t="shared" si="4"/>
        <v>75</v>
      </c>
      <c r="Q27" s="2" t="s">
        <v>26</v>
      </c>
      <c r="R27" s="18">
        <f t="shared" si="5"/>
        <v>75</v>
      </c>
      <c r="S27" s="2" t="s">
        <v>26</v>
      </c>
      <c r="T27" s="4">
        <f t="shared" si="6"/>
        <v>75</v>
      </c>
      <c r="U27" s="2"/>
      <c r="V27" s="4" t="str">
        <f t="shared" si="7"/>
        <v/>
      </c>
      <c r="W27" s="2" t="s">
        <v>26</v>
      </c>
      <c r="X27" s="4">
        <f t="shared" si="8"/>
        <v>75</v>
      </c>
      <c r="Y27" s="2" t="s">
        <v>31</v>
      </c>
      <c r="Z27" s="4">
        <f t="shared" si="9"/>
        <v>66.599999999999994</v>
      </c>
      <c r="AA27" s="2">
        <v>7</v>
      </c>
      <c r="AC27" s="2"/>
    </row>
    <row r="28" spans="1:29" x14ac:dyDescent="0.4">
      <c r="A28" s="2">
        <v>8436419</v>
      </c>
      <c r="B28" s="2" t="s">
        <v>9</v>
      </c>
      <c r="C28" s="2" t="s">
        <v>12</v>
      </c>
      <c r="D28" s="2" t="s">
        <v>16</v>
      </c>
      <c r="E28" s="2" t="s">
        <v>20</v>
      </c>
      <c r="F28" s="2" t="s">
        <v>38</v>
      </c>
      <c r="G28" s="2" t="s">
        <v>22</v>
      </c>
      <c r="H28" s="4">
        <f t="shared" si="0"/>
        <v>75</v>
      </c>
      <c r="I28" s="2" t="s">
        <v>22</v>
      </c>
      <c r="J28" s="4">
        <f t="shared" si="1"/>
        <v>75</v>
      </c>
      <c r="K28" s="2" t="s">
        <v>21</v>
      </c>
      <c r="L28" s="4">
        <f t="shared" si="2"/>
        <v>100</v>
      </c>
      <c r="M28" s="2" t="s">
        <v>22</v>
      </c>
      <c r="N28" s="4">
        <f t="shared" si="3"/>
        <v>75</v>
      </c>
      <c r="O28" s="2" t="s">
        <v>22</v>
      </c>
      <c r="P28" s="4">
        <f t="shared" si="4"/>
        <v>75</v>
      </c>
      <c r="Q28" s="2" t="s">
        <v>26</v>
      </c>
      <c r="R28" s="18">
        <f t="shared" si="5"/>
        <v>75</v>
      </c>
      <c r="S28" s="2" t="s">
        <v>27</v>
      </c>
      <c r="T28" s="4">
        <f t="shared" si="6"/>
        <v>100</v>
      </c>
      <c r="U28" s="2" t="s">
        <v>27</v>
      </c>
      <c r="V28" s="4">
        <f t="shared" si="7"/>
        <v>100</v>
      </c>
      <c r="W28" s="2" t="s">
        <v>27</v>
      </c>
      <c r="X28" s="4">
        <f t="shared" si="8"/>
        <v>100</v>
      </c>
      <c r="Y28" s="2" t="s">
        <v>30</v>
      </c>
      <c r="Z28" s="4">
        <f t="shared" si="9"/>
        <v>100</v>
      </c>
      <c r="AA28" s="2">
        <v>7</v>
      </c>
      <c r="AC28" s="2"/>
    </row>
    <row r="29" spans="1:29" x14ac:dyDescent="0.4">
      <c r="A29" s="2">
        <v>8447193</v>
      </c>
      <c r="B29" s="2" t="s">
        <v>8</v>
      </c>
      <c r="C29" s="2" t="s">
        <v>13</v>
      </c>
      <c r="D29" s="2" t="s">
        <v>15</v>
      </c>
      <c r="E29" s="2" t="s">
        <v>19</v>
      </c>
      <c r="F29" s="2" t="s">
        <v>38</v>
      </c>
      <c r="G29" s="2" t="s">
        <v>21</v>
      </c>
      <c r="H29" s="4">
        <f t="shared" si="0"/>
        <v>100</v>
      </c>
      <c r="I29" s="2" t="s">
        <v>21</v>
      </c>
      <c r="J29" s="4">
        <f t="shared" si="1"/>
        <v>100</v>
      </c>
      <c r="K29" s="2" t="s">
        <v>21</v>
      </c>
      <c r="L29" s="4">
        <f t="shared" si="2"/>
        <v>100</v>
      </c>
      <c r="M29" s="2" t="s">
        <v>21</v>
      </c>
      <c r="N29" s="4">
        <f t="shared" si="3"/>
        <v>100</v>
      </c>
      <c r="O29" s="2" t="s">
        <v>21</v>
      </c>
      <c r="P29" s="4">
        <f t="shared" si="4"/>
        <v>100</v>
      </c>
      <c r="Q29" s="2" t="s">
        <v>27</v>
      </c>
      <c r="R29" s="18">
        <f t="shared" si="5"/>
        <v>100</v>
      </c>
      <c r="S29" s="2" t="s">
        <v>27</v>
      </c>
      <c r="T29" s="4">
        <f t="shared" si="6"/>
        <v>100</v>
      </c>
      <c r="U29" s="2" t="s">
        <v>27</v>
      </c>
      <c r="V29" s="4">
        <f t="shared" si="7"/>
        <v>100</v>
      </c>
      <c r="W29" s="2" t="s">
        <v>27</v>
      </c>
      <c r="X29" s="4">
        <f t="shared" si="8"/>
        <v>100</v>
      </c>
      <c r="Y29" s="2" t="s">
        <v>30</v>
      </c>
      <c r="Z29" s="4">
        <f t="shared" si="9"/>
        <v>100</v>
      </c>
      <c r="AA29" s="2">
        <v>8</v>
      </c>
      <c r="AC29" s="2"/>
    </row>
    <row r="30" spans="1:29" x14ac:dyDescent="0.4">
      <c r="A30" s="2">
        <v>8457452</v>
      </c>
      <c r="B30" s="2" t="s">
        <v>9</v>
      </c>
      <c r="C30" s="2" t="s">
        <v>13</v>
      </c>
      <c r="D30" s="2" t="s">
        <v>15</v>
      </c>
      <c r="E30" s="2" t="s">
        <v>17</v>
      </c>
      <c r="F30" s="2" t="s">
        <v>37</v>
      </c>
      <c r="G30" s="2" t="s">
        <v>21</v>
      </c>
      <c r="H30" s="4">
        <f t="shared" si="0"/>
        <v>100</v>
      </c>
      <c r="I30" s="2" t="s">
        <v>21</v>
      </c>
      <c r="J30" s="4">
        <f t="shared" si="1"/>
        <v>100</v>
      </c>
      <c r="K30" s="2" t="s">
        <v>21</v>
      </c>
      <c r="L30" s="4">
        <f t="shared" si="2"/>
        <v>100</v>
      </c>
      <c r="M30" s="2" t="s">
        <v>21</v>
      </c>
      <c r="N30" s="4">
        <f t="shared" si="3"/>
        <v>100</v>
      </c>
      <c r="O30" s="2" t="s">
        <v>21</v>
      </c>
      <c r="P30" s="4">
        <f t="shared" si="4"/>
        <v>100</v>
      </c>
      <c r="Q30" s="2" t="s">
        <v>27</v>
      </c>
      <c r="R30" s="18">
        <f t="shared" si="5"/>
        <v>100</v>
      </c>
      <c r="S30" s="2" t="s">
        <v>27</v>
      </c>
      <c r="T30" s="4">
        <f t="shared" si="6"/>
        <v>100</v>
      </c>
      <c r="U30" s="2" t="s">
        <v>27</v>
      </c>
      <c r="V30" s="4">
        <f t="shared" si="7"/>
        <v>100</v>
      </c>
      <c r="W30" s="2" t="s">
        <v>27</v>
      </c>
      <c r="X30" s="4">
        <f t="shared" si="8"/>
        <v>100</v>
      </c>
      <c r="Y30" s="2" t="s">
        <v>30</v>
      </c>
      <c r="Z30" s="4">
        <f t="shared" si="9"/>
        <v>100</v>
      </c>
      <c r="AA30" s="2">
        <v>9</v>
      </c>
      <c r="AC30" s="2"/>
    </row>
    <row r="31" spans="1:29" x14ac:dyDescent="0.4">
      <c r="A31" s="2">
        <v>8461756</v>
      </c>
      <c r="B31" s="2" t="s">
        <v>8</v>
      </c>
      <c r="C31" s="2" t="s">
        <v>10</v>
      </c>
      <c r="D31" s="2" t="s">
        <v>16</v>
      </c>
      <c r="E31" s="2" t="s">
        <v>17</v>
      </c>
      <c r="F31" s="2" t="s">
        <v>37</v>
      </c>
      <c r="G31" s="2" t="s">
        <v>24</v>
      </c>
      <c r="H31" s="4">
        <f t="shared" si="0"/>
        <v>50</v>
      </c>
      <c r="I31" s="2" t="s">
        <v>24</v>
      </c>
      <c r="J31" s="4">
        <f t="shared" si="1"/>
        <v>50</v>
      </c>
      <c r="K31" s="2" t="s">
        <v>24</v>
      </c>
      <c r="L31" s="4">
        <f t="shared" si="2"/>
        <v>50</v>
      </c>
      <c r="M31" s="2" t="s">
        <v>24</v>
      </c>
      <c r="N31" s="4">
        <f t="shared" si="3"/>
        <v>50</v>
      </c>
      <c r="O31" s="2" t="s">
        <v>24</v>
      </c>
      <c r="P31" s="4">
        <f t="shared" si="4"/>
        <v>50</v>
      </c>
      <c r="Q31" s="2" t="s">
        <v>24</v>
      </c>
      <c r="R31" s="18">
        <f t="shared" si="5"/>
        <v>50</v>
      </c>
      <c r="S31" s="2" t="s">
        <v>27</v>
      </c>
      <c r="T31" s="4">
        <f t="shared" si="6"/>
        <v>100</v>
      </c>
      <c r="U31" s="2" t="s">
        <v>27</v>
      </c>
      <c r="V31" s="4">
        <f t="shared" si="7"/>
        <v>100</v>
      </c>
      <c r="W31" s="2" t="s">
        <v>27</v>
      </c>
      <c r="X31" s="4">
        <f t="shared" si="8"/>
        <v>100</v>
      </c>
      <c r="Y31" s="2" t="s">
        <v>33</v>
      </c>
      <c r="Z31" s="4">
        <f t="shared" si="9"/>
        <v>0</v>
      </c>
      <c r="AA31" s="3">
        <v>0</v>
      </c>
      <c r="AC31" s="2"/>
    </row>
    <row r="32" spans="1:29" x14ac:dyDescent="0.4">
      <c r="A32" s="2">
        <v>8461799</v>
      </c>
      <c r="B32" s="2" t="s">
        <v>8</v>
      </c>
      <c r="C32" s="2" t="s">
        <v>13</v>
      </c>
      <c r="D32" s="2" t="s">
        <v>16</v>
      </c>
      <c r="E32" s="2" t="s">
        <v>17</v>
      </c>
      <c r="F32" s="2" t="s">
        <v>39</v>
      </c>
      <c r="G32" s="2" t="s">
        <v>24</v>
      </c>
      <c r="H32" s="4">
        <f t="shared" si="0"/>
        <v>50</v>
      </c>
      <c r="I32" s="2" t="s">
        <v>24</v>
      </c>
      <c r="J32" s="4">
        <f t="shared" si="1"/>
        <v>50</v>
      </c>
      <c r="K32" s="2" t="s">
        <v>24</v>
      </c>
      <c r="L32" s="4">
        <f t="shared" si="2"/>
        <v>50</v>
      </c>
      <c r="M32" s="2"/>
      <c r="N32" s="4" t="str">
        <f t="shared" si="3"/>
        <v/>
      </c>
      <c r="O32" s="2" t="s">
        <v>24</v>
      </c>
      <c r="P32" s="4">
        <f t="shared" si="4"/>
        <v>50</v>
      </c>
      <c r="Q32" s="2" t="s">
        <v>27</v>
      </c>
      <c r="R32" s="18">
        <f t="shared" si="5"/>
        <v>100</v>
      </c>
      <c r="S32" s="2" t="s">
        <v>27</v>
      </c>
      <c r="T32" s="4">
        <f t="shared" si="6"/>
        <v>100</v>
      </c>
      <c r="U32" s="2"/>
      <c r="V32" s="4" t="str">
        <f t="shared" si="7"/>
        <v/>
      </c>
      <c r="W32" s="2" t="s">
        <v>27</v>
      </c>
      <c r="X32" s="4">
        <f t="shared" si="8"/>
        <v>100</v>
      </c>
      <c r="Y32" s="2" t="s">
        <v>24</v>
      </c>
      <c r="Z32" s="4">
        <f t="shared" si="9"/>
        <v>33.299999999999997</v>
      </c>
      <c r="AA32" s="2">
        <v>1</v>
      </c>
      <c r="AC32" s="2"/>
    </row>
    <row r="33" spans="1:29" x14ac:dyDescent="0.4">
      <c r="A33" s="2">
        <v>8467054</v>
      </c>
      <c r="B33" s="2" t="s">
        <v>9</v>
      </c>
      <c r="C33" s="2" t="s">
        <v>10</v>
      </c>
      <c r="D33" s="2" t="s">
        <v>15</v>
      </c>
      <c r="E33" s="2" t="s">
        <v>17</v>
      </c>
      <c r="F33" s="2" t="s">
        <v>39</v>
      </c>
      <c r="G33" s="2" t="s">
        <v>24</v>
      </c>
      <c r="H33" s="4">
        <f t="shared" si="0"/>
        <v>50</v>
      </c>
      <c r="I33" s="2" t="s">
        <v>24</v>
      </c>
      <c r="J33" s="4">
        <f t="shared" si="1"/>
        <v>50</v>
      </c>
      <c r="K33" s="2" t="s">
        <v>24</v>
      </c>
      <c r="L33" s="4">
        <f t="shared" si="2"/>
        <v>50</v>
      </c>
      <c r="M33" s="2"/>
      <c r="N33" s="4" t="str">
        <f t="shared" si="3"/>
        <v/>
      </c>
      <c r="O33" s="2" t="s">
        <v>24</v>
      </c>
      <c r="P33" s="4">
        <f t="shared" si="4"/>
        <v>50</v>
      </c>
      <c r="Q33" s="2" t="s">
        <v>24</v>
      </c>
      <c r="R33" s="18">
        <f t="shared" si="5"/>
        <v>50</v>
      </c>
      <c r="S33" s="2" t="s">
        <v>24</v>
      </c>
      <c r="T33" s="4">
        <f t="shared" si="6"/>
        <v>50</v>
      </c>
      <c r="U33" s="2"/>
      <c r="V33" s="4" t="str">
        <f t="shared" si="7"/>
        <v/>
      </c>
      <c r="W33" s="2" t="s">
        <v>24</v>
      </c>
      <c r="X33" s="4">
        <f t="shared" si="8"/>
        <v>50</v>
      </c>
      <c r="Y33" s="2" t="s">
        <v>24</v>
      </c>
      <c r="Z33" s="4">
        <f t="shared" si="9"/>
        <v>33.299999999999997</v>
      </c>
      <c r="AA33" s="2">
        <v>5</v>
      </c>
      <c r="AC33" s="2"/>
    </row>
    <row r="34" spans="1:29" x14ac:dyDescent="0.4">
      <c r="A34" s="2">
        <v>8468753</v>
      </c>
      <c r="B34" s="2" t="s">
        <v>9</v>
      </c>
      <c r="C34" s="2" t="s">
        <v>10</v>
      </c>
      <c r="D34" s="2" t="s">
        <v>15</v>
      </c>
      <c r="E34" s="2" t="s">
        <v>17</v>
      </c>
      <c r="F34" s="2" t="s">
        <v>38</v>
      </c>
      <c r="G34" s="2" t="s">
        <v>21</v>
      </c>
      <c r="H34" s="4">
        <f t="shared" si="0"/>
        <v>100</v>
      </c>
      <c r="I34" s="2" t="s">
        <v>22</v>
      </c>
      <c r="J34" s="4">
        <f t="shared" si="1"/>
        <v>75</v>
      </c>
      <c r="K34" s="2" t="s">
        <v>21</v>
      </c>
      <c r="L34" s="4">
        <f t="shared" si="2"/>
        <v>100</v>
      </c>
      <c r="M34" s="2" t="s">
        <v>22</v>
      </c>
      <c r="N34" s="4">
        <f t="shared" si="3"/>
        <v>75</v>
      </c>
      <c r="O34" s="2" t="s">
        <v>21</v>
      </c>
      <c r="P34" s="4">
        <f t="shared" si="4"/>
        <v>100</v>
      </c>
      <c r="Q34" s="2" t="s">
        <v>27</v>
      </c>
      <c r="R34" s="18">
        <f t="shared" si="5"/>
        <v>100</v>
      </c>
      <c r="S34" s="2" t="s">
        <v>26</v>
      </c>
      <c r="T34" s="4">
        <f t="shared" si="6"/>
        <v>75</v>
      </c>
      <c r="U34" s="2" t="s">
        <v>27</v>
      </c>
      <c r="V34" s="4">
        <f t="shared" si="7"/>
        <v>100</v>
      </c>
      <c r="W34" s="2" t="s">
        <v>26</v>
      </c>
      <c r="X34" s="4">
        <f t="shared" si="8"/>
        <v>75</v>
      </c>
      <c r="Y34" s="2" t="s">
        <v>31</v>
      </c>
      <c r="Z34" s="4">
        <f t="shared" si="9"/>
        <v>66.599999999999994</v>
      </c>
      <c r="AA34" s="2">
        <v>7</v>
      </c>
      <c r="AC34" s="2"/>
    </row>
    <row r="35" spans="1:29" x14ac:dyDescent="0.4">
      <c r="A35" s="2">
        <v>8470057</v>
      </c>
      <c r="B35" s="2" t="s">
        <v>9</v>
      </c>
      <c r="C35" s="2" t="s">
        <v>13</v>
      </c>
      <c r="D35" s="2" t="s">
        <v>16</v>
      </c>
      <c r="E35" s="2" t="s">
        <v>17</v>
      </c>
      <c r="F35" s="2" t="s">
        <v>37</v>
      </c>
      <c r="G35" s="2" t="s">
        <v>22</v>
      </c>
      <c r="H35" s="4">
        <f t="shared" si="0"/>
        <v>75</v>
      </c>
      <c r="I35" s="2" t="s">
        <v>22</v>
      </c>
      <c r="J35" s="4">
        <f t="shared" si="1"/>
        <v>75</v>
      </c>
      <c r="K35" s="2" t="s">
        <v>22</v>
      </c>
      <c r="L35" s="4">
        <f t="shared" si="2"/>
        <v>75</v>
      </c>
      <c r="M35" s="2" t="s">
        <v>22</v>
      </c>
      <c r="N35" s="4">
        <f t="shared" si="3"/>
        <v>75</v>
      </c>
      <c r="O35" s="2" t="s">
        <v>22</v>
      </c>
      <c r="P35" s="4">
        <f t="shared" si="4"/>
        <v>75</v>
      </c>
      <c r="Q35" s="2" t="s">
        <v>26</v>
      </c>
      <c r="R35" s="18">
        <f t="shared" si="5"/>
        <v>75</v>
      </c>
      <c r="S35" s="2" t="s">
        <v>26</v>
      </c>
      <c r="T35" s="4">
        <f t="shared" si="6"/>
        <v>75</v>
      </c>
      <c r="U35" s="2" t="s">
        <v>26</v>
      </c>
      <c r="V35" s="4">
        <f t="shared" si="7"/>
        <v>75</v>
      </c>
      <c r="W35" s="2" t="s">
        <v>26</v>
      </c>
      <c r="X35" s="4">
        <f t="shared" si="8"/>
        <v>75</v>
      </c>
      <c r="Y35" s="2" t="s">
        <v>31</v>
      </c>
      <c r="Z35" s="4">
        <f t="shared" si="9"/>
        <v>66.599999999999994</v>
      </c>
      <c r="AA35" s="2">
        <v>5</v>
      </c>
      <c r="AC35" s="2"/>
    </row>
    <row r="36" spans="1:29" x14ac:dyDescent="0.4">
      <c r="A36" s="2">
        <v>8473640</v>
      </c>
      <c r="B36" s="2" t="s">
        <v>8</v>
      </c>
      <c r="C36" s="2" t="s">
        <v>11</v>
      </c>
      <c r="D36" s="2" t="s">
        <v>16</v>
      </c>
      <c r="E36" s="2" t="s">
        <v>17</v>
      </c>
      <c r="F36" s="2" t="s">
        <v>38</v>
      </c>
      <c r="G36" s="2" t="s">
        <v>22</v>
      </c>
      <c r="H36" s="4">
        <f t="shared" si="0"/>
        <v>75</v>
      </c>
      <c r="I36" s="2" t="s">
        <v>22</v>
      </c>
      <c r="J36" s="4">
        <f t="shared" si="1"/>
        <v>75</v>
      </c>
      <c r="K36" s="2" t="s">
        <v>22</v>
      </c>
      <c r="L36" s="4">
        <f t="shared" si="2"/>
        <v>75</v>
      </c>
      <c r="M36" s="2" t="s">
        <v>24</v>
      </c>
      <c r="N36" s="4">
        <f t="shared" si="3"/>
        <v>50</v>
      </c>
      <c r="O36" s="2" t="s">
        <v>22</v>
      </c>
      <c r="P36" s="4">
        <f t="shared" si="4"/>
        <v>75</v>
      </c>
      <c r="Q36" s="2" t="s">
        <v>26</v>
      </c>
      <c r="R36" s="18">
        <f t="shared" si="5"/>
        <v>75</v>
      </c>
      <c r="S36" s="2" t="s">
        <v>27</v>
      </c>
      <c r="T36" s="4">
        <f t="shared" si="6"/>
        <v>100</v>
      </c>
      <c r="U36" s="2" t="s">
        <v>27</v>
      </c>
      <c r="V36" s="4">
        <f t="shared" si="7"/>
        <v>100</v>
      </c>
      <c r="W36" s="2" t="s">
        <v>27</v>
      </c>
      <c r="X36" s="4">
        <f t="shared" si="8"/>
        <v>100</v>
      </c>
      <c r="Y36" s="2" t="s">
        <v>31</v>
      </c>
      <c r="Z36" s="4">
        <f t="shared" si="9"/>
        <v>66.599999999999994</v>
      </c>
      <c r="AA36" s="2">
        <v>6</v>
      </c>
      <c r="AC36" s="2"/>
    </row>
    <row r="37" spans="1:29" x14ac:dyDescent="0.4">
      <c r="A37" s="2">
        <v>8473821</v>
      </c>
      <c r="B37" s="2" t="s">
        <v>8</v>
      </c>
      <c r="C37" s="2" t="s">
        <v>13</v>
      </c>
      <c r="D37" s="2" t="s">
        <v>16</v>
      </c>
      <c r="E37" s="2" t="s">
        <v>17</v>
      </c>
      <c r="F37" s="2" t="s">
        <v>38</v>
      </c>
      <c r="G37" s="2" t="s">
        <v>21</v>
      </c>
      <c r="H37" s="4">
        <f t="shared" si="0"/>
        <v>100</v>
      </c>
      <c r="I37" s="2" t="s">
        <v>21</v>
      </c>
      <c r="J37" s="4">
        <f t="shared" si="1"/>
        <v>100</v>
      </c>
      <c r="K37" s="2" t="s">
        <v>21</v>
      </c>
      <c r="L37" s="4">
        <f t="shared" si="2"/>
        <v>100</v>
      </c>
      <c r="M37" s="2" t="s">
        <v>21</v>
      </c>
      <c r="N37" s="4">
        <f t="shared" si="3"/>
        <v>100</v>
      </c>
      <c r="O37" s="2" t="s">
        <v>21</v>
      </c>
      <c r="P37" s="4">
        <f t="shared" si="4"/>
        <v>100</v>
      </c>
      <c r="Q37" s="2" t="s">
        <v>27</v>
      </c>
      <c r="R37" s="18">
        <f t="shared" si="5"/>
        <v>100</v>
      </c>
      <c r="S37" s="2" t="s">
        <v>27</v>
      </c>
      <c r="T37" s="4">
        <f t="shared" si="6"/>
        <v>100</v>
      </c>
      <c r="U37" s="2" t="s">
        <v>27</v>
      </c>
      <c r="V37" s="4">
        <f t="shared" si="7"/>
        <v>100</v>
      </c>
      <c r="W37" s="2" t="s">
        <v>27</v>
      </c>
      <c r="X37" s="4">
        <f t="shared" si="8"/>
        <v>100</v>
      </c>
      <c r="Y37" s="2" t="s">
        <v>30</v>
      </c>
      <c r="Z37" s="4">
        <f t="shared" si="9"/>
        <v>100</v>
      </c>
      <c r="AA37" s="2">
        <v>6</v>
      </c>
      <c r="AC37" s="2"/>
    </row>
    <row r="38" spans="1:29" x14ac:dyDescent="0.4">
      <c r="A38" s="2">
        <v>8476007</v>
      </c>
      <c r="B38" s="2" t="s">
        <v>9</v>
      </c>
      <c r="C38" s="2" t="s">
        <v>10</v>
      </c>
      <c r="D38" s="2" t="s">
        <v>16</v>
      </c>
      <c r="E38" s="2" t="s">
        <v>18</v>
      </c>
      <c r="F38" s="2" t="s">
        <v>39</v>
      </c>
      <c r="G38" s="2" t="s">
        <v>21</v>
      </c>
      <c r="H38" s="4">
        <f t="shared" si="0"/>
        <v>100</v>
      </c>
      <c r="I38" s="2" t="s">
        <v>21</v>
      </c>
      <c r="J38" s="4">
        <f t="shared" si="1"/>
        <v>100</v>
      </c>
      <c r="K38" s="2" t="s">
        <v>21</v>
      </c>
      <c r="L38" s="4">
        <f t="shared" si="2"/>
        <v>100</v>
      </c>
      <c r="M38" s="2"/>
      <c r="N38" s="4" t="str">
        <f t="shared" si="3"/>
        <v/>
      </c>
      <c r="O38" s="2" t="s">
        <v>21</v>
      </c>
      <c r="P38" s="4">
        <f t="shared" si="4"/>
        <v>100</v>
      </c>
      <c r="Q38" s="2" t="s">
        <v>27</v>
      </c>
      <c r="R38" s="18">
        <f t="shared" si="5"/>
        <v>100</v>
      </c>
      <c r="S38" s="2" t="s">
        <v>27</v>
      </c>
      <c r="T38" s="4">
        <f t="shared" si="6"/>
        <v>100</v>
      </c>
      <c r="U38" s="2"/>
      <c r="V38" s="4" t="str">
        <f t="shared" si="7"/>
        <v/>
      </c>
      <c r="W38" s="2" t="s">
        <v>27</v>
      </c>
      <c r="X38" s="4">
        <f t="shared" si="8"/>
        <v>100</v>
      </c>
      <c r="Y38" s="2" t="s">
        <v>30</v>
      </c>
      <c r="Z38" s="4">
        <f t="shared" si="9"/>
        <v>100</v>
      </c>
      <c r="AA38" s="2">
        <v>10</v>
      </c>
      <c r="AC38" s="2"/>
    </row>
    <row r="39" spans="1:29" x14ac:dyDescent="0.4">
      <c r="A39" s="2">
        <v>8476625</v>
      </c>
      <c r="B39" s="2" t="s">
        <v>9</v>
      </c>
      <c r="C39" s="2" t="s">
        <v>10</v>
      </c>
      <c r="D39" s="2" t="s">
        <v>16</v>
      </c>
      <c r="E39" s="2" t="s">
        <v>18</v>
      </c>
      <c r="F39" s="2" t="s">
        <v>39</v>
      </c>
      <c r="G39" s="2" t="s">
        <v>21</v>
      </c>
      <c r="H39" s="4">
        <f t="shared" si="0"/>
        <v>100</v>
      </c>
      <c r="I39" s="2" t="s">
        <v>21</v>
      </c>
      <c r="J39" s="4">
        <f t="shared" si="1"/>
        <v>100</v>
      </c>
      <c r="K39" s="2" t="s">
        <v>21</v>
      </c>
      <c r="L39" s="4">
        <f t="shared" si="2"/>
        <v>100</v>
      </c>
      <c r="M39" s="2"/>
      <c r="N39" s="4" t="str">
        <f t="shared" si="3"/>
        <v/>
      </c>
      <c r="O39" s="2" t="s">
        <v>21</v>
      </c>
      <c r="P39" s="4">
        <f t="shared" si="4"/>
        <v>100</v>
      </c>
      <c r="Q39" s="2" t="s">
        <v>27</v>
      </c>
      <c r="R39" s="18">
        <f t="shared" si="5"/>
        <v>100</v>
      </c>
      <c r="S39" s="2" t="s">
        <v>26</v>
      </c>
      <c r="T39" s="4">
        <f t="shared" si="6"/>
        <v>75</v>
      </c>
      <c r="U39" s="2"/>
      <c r="V39" s="4" t="str">
        <f t="shared" si="7"/>
        <v/>
      </c>
      <c r="W39" s="2" t="s">
        <v>26</v>
      </c>
      <c r="X39" s="4">
        <f t="shared" si="8"/>
        <v>75</v>
      </c>
      <c r="Y39" s="2" t="s">
        <v>31</v>
      </c>
      <c r="Z39" s="4">
        <f t="shared" si="9"/>
        <v>66.599999999999994</v>
      </c>
      <c r="AA39" s="2">
        <v>7</v>
      </c>
      <c r="AC39" s="2"/>
    </row>
    <row r="40" spans="1:29" x14ac:dyDescent="0.4">
      <c r="A40" s="2">
        <v>8491163</v>
      </c>
      <c r="B40" s="2" t="s">
        <v>8</v>
      </c>
      <c r="C40" s="2" t="s">
        <v>10</v>
      </c>
      <c r="D40" s="2" t="s">
        <v>16</v>
      </c>
      <c r="E40" s="2" t="s">
        <v>17</v>
      </c>
      <c r="F40" s="2" t="s">
        <v>39</v>
      </c>
      <c r="G40" s="2" t="s">
        <v>22</v>
      </c>
      <c r="H40" s="4">
        <f t="shared" si="0"/>
        <v>75</v>
      </c>
      <c r="I40" s="2" t="s">
        <v>24</v>
      </c>
      <c r="J40" s="4">
        <f t="shared" si="1"/>
        <v>50</v>
      </c>
      <c r="K40" s="2" t="s">
        <v>24</v>
      </c>
      <c r="L40" s="4">
        <f t="shared" si="2"/>
        <v>50</v>
      </c>
      <c r="M40" s="2"/>
      <c r="N40" s="4" t="str">
        <f t="shared" si="3"/>
        <v/>
      </c>
      <c r="O40" s="2" t="s">
        <v>24</v>
      </c>
      <c r="P40" s="4">
        <f t="shared" si="4"/>
        <v>50</v>
      </c>
      <c r="Q40" s="2" t="s">
        <v>27</v>
      </c>
      <c r="R40" s="18">
        <f t="shared" si="5"/>
        <v>100</v>
      </c>
      <c r="S40" s="2" t="s">
        <v>27</v>
      </c>
      <c r="T40" s="4">
        <f t="shared" si="6"/>
        <v>100</v>
      </c>
      <c r="U40" s="2"/>
      <c r="V40" s="4" t="str">
        <f t="shared" si="7"/>
        <v/>
      </c>
      <c r="W40" s="2" t="s">
        <v>27</v>
      </c>
      <c r="X40" s="4">
        <f t="shared" si="8"/>
        <v>100</v>
      </c>
      <c r="Y40" s="2" t="s">
        <v>31</v>
      </c>
      <c r="Z40" s="4">
        <f t="shared" si="9"/>
        <v>66.599999999999994</v>
      </c>
      <c r="AA40" s="2">
        <v>6</v>
      </c>
      <c r="AC40" s="2"/>
    </row>
    <row r="41" spans="1:29" x14ac:dyDescent="0.4">
      <c r="A41" s="2">
        <v>8504579</v>
      </c>
      <c r="B41" s="2" t="s">
        <v>8</v>
      </c>
      <c r="C41" s="2" t="s">
        <v>11</v>
      </c>
      <c r="D41" s="2" t="s">
        <v>16</v>
      </c>
      <c r="E41" s="2" t="s">
        <v>17</v>
      </c>
      <c r="F41" s="2" t="s">
        <v>39</v>
      </c>
      <c r="G41" s="2" t="s">
        <v>25</v>
      </c>
      <c r="H41" s="4">
        <f t="shared" si="0"/>
        <v>0</v>
      </c>
      <c r="I41" s="2" t="s">
        <v>24</v>
      </c>
      <c r="J41" s="4">
        <f t="shared" si="1"/>
        <v>50</v>
      </c>
      <c r="K41" s="2" t="s">
        <v>25</v>
      </c>
      <c r="L41" s="4">
        <f t="shared" si="2"/>
        <v>0</v>
      </c>
      <c r="M41" s="2"/>
      <c r="N41" s="4" t="str">
        <f t="shared" si="3"/>
        <v/>
      </c>
      <c r="O41" s="2" t="s">
        <v>22</v>
      </c>
      <c r="P41" s="4">
        <f t="shared" si="4"/>
        <v>75</v>
      </c>
      <c r="Q41" s="2" t="s">
        <v>26</v>
      </c>
      <c r="R41" s="18">
        <f t="shared" si="5"/>
        <v>75</v>
      </c>
      <c r="S41" s="2" t="s">
        <v>27</v>
      </c>
      <c r="T41" s="4">
        <f t="shared" si="6"/>
        <v>100</v>
      </c>
      <c r="U41" s="2"/>
      <c r="V41" s="4" t="str">
        <f t="shared" si="7"/>
        <v/>
      </c>
      <c r="W41" s="2" t="s">
        <v>27</v>
      </c>
      <c r="X41" s="4">
        <f t="shared" si="8"/>
        <v>100</v>
      </c>
      <c r="Y41" s="2" t="s">
        <v>24</v>
      </c>
      <c r="Z41" s="4">
        <f t="shared" si="9"/>
        <v>33.299999999999997</v>
      </c>
      <c r="AA41" s="2">
        <v>4</v>
      </c>
      <c r="AC41" s="2"/>
    </row>
    <row r="42" spans="1:29" x14ac:dyDescent="0.4">
      <c r="A42" s="2">
        <v>8513333</v>
      </c>
      <c r="B42" s="2" t="s">
        <v>9</v>
      </c>
      <c r="C42" s="2" t="s">
        <v>13</v>
      </c>
      <c r="D42" s="2" t="s">
        <v>15</v>
      </c>
      <c r="E42" s="2" t="s">
        <v>18</v>
      </c>
      <c r="F42" s="2" t="s">
        <v>38</v>
      </c>
      <c r="G42" s="2" t="s">
        <v>21</v>
      </c>
      <c r="H42" s="4">
        <f t="shared" si="0"/>
        <v>100</v>
      </c>
      <c r="I42" s="2" t="s">
        <v>21</v>
      </c>
      <c r="J42" s="4">
        <f t="shared" si="1"/>
        <v>100</v>
      </c>
      <c r="K42" s="2" t="s">
        <v>21</v>
      </c>
      <c r="L42" s="4">
        <f t="shared" si="2"/>
        <v>100</v>
      </c>
      <c r="M42" s="2" t="s">
        <v>21</v>
      </c>
      <c r="N42" s="4">
        <f t="shared" si="3"/>
        <v>100</v>
      </c>
      <c r="O42" s="2" t="s">
        <v>21</v>
      </c>
      <c r="P42" s="4">
        <f t="shared" si="4"/>
        <v>100</v>
      </c>
      <c r="Q42" s="2" t="s">
        <v>27</v>
      </c>
      <c r="R42" s="18">
        <f t="shared" si="5"/>
        <v>100</v>
      </c>
      <c r="S42" s="2" t="s">
        <v>27</v>
      </c>
      <c r="T42" s="4">
        <f t="shared" si="6"/>
        <v>100</v>
      </c>
      <c r="U42" s="2" t="s">
        <v>27</v>
      </c>
      <c r="V42" s="4">
        <f t="shared" si="7"/>
        <v>100</v>
      </c>
      <c r="W42" s="2" t="s">
        <v>27</v>
      </c>
      <c r="X42" s="4">
        <f t="shared" si="8"/>
        <v>100</v>
      </c>
      <c r="Y42" s="2" t="s">
        <v>30</v>
      </c>
      <c r="Z42" s="4">
        <f t="shared" si="9"/>
        <v>100</v>
      </c>
      <c r="AA42" s="2">
        <v>7</v>
      </c>
      <c r="AC42" s="2"/>
    </row>
    <row r="43" spans="1:29" x14ac:dyDescent="0.4">
      <c r="A43" s="2">
        <v>8533235</v>
      </c>
      <c r="B43" s="2" t="s">
        <v>9</v>
      </c>
      <c r="C43" s="2" t="s">
        <v>13</v>
      </c>
      <c r="D43" s="2" t="s">
        <v>16</v>
      </c>
      <c r="E43" s="2" t="s">
        <v>19</v>
      </c>
      <c r="F43" s="2" t="s">
        <v>38</v>
      </c>
      <c r="G43" s="2" t="s">
        <v>24</v>
      </c>
      <c r="H43" s="4">
        <f t="shared" si="0"/>
        <v>50</v>
      </c>
      <c r="I43" s="2" t="s">
        <v>23</v>
      </c>
      <c r="J43" s="4">
        <f t="shared" si="1"/>
        <v>25</v>
      </c>
      <c r="K43" s="2" t="s">
        <v>25</v>
      </c>
      <c r="L43" s="4">
        <f t="shared" si="2"/>
        <v>0</v>
      </c>
      <c r="M43" s="2" t="s">
        <v>25</v>
      </c>
      <c r="N43" s="4">
        <f t="shared" si="3"/>
        <v>0</v>
      </c>
      <c r="O43" s="2" t="s">
        <v>25</v>
      </c>
      <c r="P43" s="4">
        <f t="shared" si="4"/>
        <v>0</v>
      </c>
      <c r="Q43" s="2" t="s">
        <v>26</v>
      </c>
      <c r="R43" s="18">
        <f t="shared" si="5"/>
        <v>75</v>
      </c>
      <c r="S43" s="2" t="s">
        <v>26</v>
      </c>
      <c r="T43" s="4">
        <f t="shared" si="6"/>
        <v>75</v>
      </c>
      <c r="U43" s="2" t="s">
        <v>26</v>
      </c>
      <c r="V43" s="4">
        <f t="shared" si="7"/>
        <v>75</v>
      </c>
      <c r="W43" s="2" t="s">
        <v>26</v>
      </c>
      <c r="X43" s="4">
        <f t="shared" si="8"/>
        <v>75</v>
      </c>
      <c r="Y43" s="2" t="s">
        <v>24</v>
      </c>
      <c r="Z43" s="4">
        <f t="shared" si="9"/>
        <v>33.299999999999997</v>
      </c>
      <c r="AA43" s="2">
        <v>2</v>
      </c>
      <c r="AC43" s="2"/>
    </row>
    <row r="44" spans="1:29" x14ac:dyDescent="0.4">
      <c r="A44" s="2">
        <v>8534263</v>
      </c>
      <c r="B44" s="2" t="s">
        <v>8</v>
      </c>
      <c r="C44" s="2" t="s">
        <v>12</v>
      </c>
      <c r="D44" s="2" t="s">
        <v>16</v>
      </c>
      <c r="E44" s="2" t="s">
        <v>17</v>
      </c>
      <c r="F44" s="2" t="s">
        <v>39</v>
      </c>
      <c r="G44" s="2" t="s">
        <v>22</v>
      </c>
      <c r="H44" s="4">
        <f t="shared" si="0"/>
        <v>75</v>
      </c>
      <c r="I44" s="2" t="s">
        <v>22</v>
      </c>
      <c r="J44" s="4">
        <f t="shared" si="1"/>
        <v>75</v>
      </c>
      <c r="K44" s="2" t="s">
        <v>22</v>
      </c>
      <c r="L44" s="4">
        <f t="shared" si="2"/>
        <v>75</v>
      </c>
      <c r="M44" s="2"/>
      <c r="N44" s="4" t="str">
        <f t="shared" si="3"/>
        <v/>
      </c>
      <c r="O44" s="2" t="s">
        <v>22</v>
      </c>
      <c r="P44" s="4">
        <f t="shared" si="4"/>
        <v>75</v>
      </c>
      <c r="Q44" s="2" t="s">
        <v>26</v>
      </c>
      <c r="R44" s="18">
        <f t="shared" si="5"/>
        <v>75</v>
      </c>
      <c r="S44" s="2" t="s">
        <v>26</v>
      </c>
      <c r="T44" s="4">
        <f t="shared" si="6"/>
        <v>75</v>
      </c>
      <c r="U44" s="2"/>
      <c r="V44" s="4" t="str">
        <f t="shared" si="7"/>
        <v/>
      </c>
      <c r="W44" s="2" t="s">
        <v>26</v>
      </c>
      <c r="X44" s="4">
        <f t="shared" si="8"/>
        <v>75</v>
      </c>
      <c r="Y44" s="2" t="s">
        <v>31</v>
      </c>
      <c r="Z44" s="4">
        <f t="shared" si="9"/>
        <v>66.599999999999994</v>
      </c>
      <c r="AA44" s="2">
        <v>7</v>
      </c>
      <c r="AC44" s="2"/>
    </row>
    <row r="45" spans="1:29" x14ac:dyDescent="0.4">
      <c r="A45" s="2">
        <v>8559110</v>
      </c>
      <c r="B45" s="2" t="s">
        <v>8</v>
      </c>
      <c r="C45" s="2" t="s">
        <v>10</v>
      </c>
      <c r="D45" s="2" t="s">
        <v>15</v>
      </c>
      <c r="E45" s="2" t="s">
        <v>17</v>
      </c>
      <c r="F45" s="2" t="s">
        <v>37</v>
      </c>
      <c r="G45" s="2" t="s">
        <v>22</v>
      </c>
      <c r="H45" s="4">
        <f t="shared" si="0"/>
        <v>75</v>
      </c>
      <c r="I45" s="2" t="s">
        <v>22</v>
      </c>
      <c r="J45" s="4">
        <f t="shared" si="1"/>
        <v>75</v>
      </c>
      <c r="K45" s="2" t="s">
        <v>22</v>
      </c>
      <c r="L45" s="4">
        <f t="shared" si="2"/>
        <v>75</v>
      </c>
      <c r="M45" s="2" t="s">
        <v>22</v>
      </c>
      <c r="N45" s="4">
        <f t="shared" si="3"/>
        <v>75</v>
      </c>
      <c r="O45" s="2" t="s">
        <v>22</v>
      </c>
      <c r="P45" s="4">
        <f t="shared" si="4"/>
        <v>75</v>
      </c>
      <c r="Q45" s="2" t="s">
        <v>27</v>
      </c>
      <c r="R45" s="18">
        <f t="shared" si="5"/>
        <v>100</v>
      </c>
      <c r="S45" s="2" t="s">
        <v>27</v>
      </c>
      <c r="T45" s="4">
        <f t="shared" si="6"/>
        <v>100</v>
      </c>
      <c r="U45" s="2" t="s">
        <v>27</v>
      </c>
      <c r="V45" s="4">
        <f t="shared" si="7"/>
        <v>100</v>
      </c>
      <c r="W45" s="2" t="s">
        <v>27</v>
      </c>
      <c r="X45" s="4">
        <f t="shared" si="8"/>
        <v>100</v>
      </c>
      <c r="Y45" s="2" t="s">
        <v>31</v>
      </c>
      <c r="Z45" s="4">
        <f t="shared" si="9"/>
        <v>66.599999999999994</v>
      </c>
      <c r="AA45" s="2">
        <v>6</v>
      </c>
      <c r="AC45" s="2"/>
    </row>
    <row r="46" spans="1:29" x14ac:dyDescent="0.4">
      <c r="A46" s="2">
        <v>8570299</v>
      </c>
      <c r="B46" s="2" t="s">
        <v>8</v>
      </c>
      <c r="C46" s="2" t="s">
        <v>14</v>
      </c>
      <c r="D46" s="2" t="s">
        <v>15</v>
      </c>
      <c r="E46" s="2" t="s">
        <v>18</v>
      </c>
      <c r="F46" s="2" t="s">
        <v>39</v>
      </c>
      <c r="G46" s="2" t="s">
        <v>22</v>
      </c>
      <c r="H46" s="4">
        <f t="shared" si="0"/>
        <v>75</v>
      </c>
      <c r="I46" s="2" t="s">
        <v>22</v>
      </c>
      <c r="J46" s="4">
        <f t="shared" si="1"/>
        <v>75</v>
      </c>
      <c r="K46" s="2" t="s">
        <v>22</v>
      </c>
      <c r="L46" s="4">
        <f t="shared" si="2"/>
        <v>75</v>
      </c>
      <c r="M46" s="2"/>
      <c r="N46" s="4" t="str">
        <f t="shared" si="3"/>
        <v/>
      </c>
      <c r="O46" s="2" t="s">
        <v>24</v>
      </c>
      <c r="P46" s="4">
        <f t="shared" si="4"/>
        <v>50</v>
      </c>
      <c r="Q46" s="2" t="s">
        <v>26</v>
      </c>
      <c r="R46" s="18">
        <f t="shared" si="5"/>
        <v>75</v>
      </c>
      <c r="S46" s="2" t="s">
        <v>26</v>
      </c>
      <c r="T46" s="4">
        <f t="shared" si="6"/>
        <v>75</v>
      </c>
      <c r="U46" s="2"/>
      <c r="V46" s="4" t="str">
        <f t="shared" si="7"/>
        <v/>
      </c>
      <c r="W46" s="2" t="s">
        <v>26</v>
      </c>
      <c r="X46" s="4">
        <f t="shared" si="8"/>
        <v>75</v>
      </c>
      <c r="Y46" s="2" t="s">
        <v>30</v>
      </c>
      <c r="Z46" s="4">
        <f t="shared" si="9"/>
        <v>100</v>
      </c>
      <c r="AA46" s="2">
        <v>5</v>
      </c>
      <c r="AC46" s="2"/>
    </row>
    <row r="47" spans="1:29" x14ac:dyDescent="0.4">
      <c r="A47" s="2">
        <v>8576652</v>
      </c>
      <c r="B47" s="2" t="s">
        <v>9</v>
      </c>
      <c r="C47" s="2" t="s">
        <v>11</v>
      </c>
      <c r="D47" s="2" t="s">
        <v>15</v>
      </c>
      <c r="E47" s="2" t="s">
        <v>18</v>
      </c>
      <c r="F47" s="2" t="s">
        <v>38</v>
      </c>
      <c r="G47" s="2" t="s">
        <v>22</v>
      </c>
      <c r="H47" s="4">
        <f t="shared" si="0"/>
        <v>75</v>
      </c>
      <c r="I47" s="2" t="s">
        <v>21</v>
      </c>
      <c r="J47" s="4">
        <f t="shared" si="1"/>
        <v>100</v>
      </c>
      <c r="K47" s="2" t="s">
        <v>21</v>
      </c>
      <c r="L47" s="4">
        <f t="shared" si="2"/>
        <v>100</v>
      </c>
      <c r="M47" s="2" t="s">
        <v>22</v>
      </c>
      <c r="N47" s="4">
        <f t="shared" si="3"/>
        <v>75</v>
      </c>
      <c r="O47" s="2" t="s">
        <v>22</v>
      </c>
      <c r="P47" s="4">
        <f t="shared" si="4"/>
        <v>75</v>
      </c>
      <c r="Q47" s="2" t="s">
        <v>27</v>
      </c>
      <c r="R47" s="18">
        <f t="shared" si="5"/>
        <v>100</v>
      </c>
      <c r="S47" s="2" t="s">
        <v>27</v>
      </c>
      <c r="T47" s="4">
        <f t="shared" si="6"/>
        <v>100</v>
      </c>
      <c r="U47" s="2" t="s">
        <v>26</v>
      </c>
      <c r="V47" s="4">
        <f t="shared" si="7"/>
        <v>75</v>
      </c>
      <c r="W47" s="2" t="s">
        <v>26</v>
      </c>
      <c r="X47" s="4">
        <f t="shared" si="8"/>
        <v>75</v>
      </c>
      <c r="Y47" s="2" t="s">
        <v>30</v>
      </c>
      <c r="Z47" s="4">
        <f t="shared" si="9"/>
        <v>100</v>
      </c>
      <c r="AA47" s="2">
        <v>9</v>
      </c>
      <c r="AC47" s="2"/>
    </row>
    <row r="48" spans="1:29" x14ac:dyDescent="0.4">
      <c r="A48" s="2">
        <v>8598030</v>
      </c>
      <c r="B48" s="2" t="s">
        <v>8</v>
      </c>
      <c r="C48" s="2" t="s">
        <v>13</v>
      </c>
      <c r="D48" s="2" t="s">
        <v>15</v>
      </c>
      <c r="E48" s="2" t="s">
        <v>18</v>
      </c>
      <c r="F48" s="2" t="s">
        <v>38</v>
      </c>
      <c r="G48" s="2" t="s">
        <v>21</v>
      </c>
      <c r="H48" s="4">
        <f t="shared" si="0"/>
        <v>100</v>
      </c>
      <c r="I48" s="2" t="s">
        <v>21</v>
      </c>
      <c r="J48" s="4">
        <f t="shared" si="1"/>
        <v>100</v>
      </c>
      <c r="K48" s="2" t="s">
        <v>21</v>
      </c>
      <c r="L48" s="4">
        <f t="shared" si="2"/>
        <v>100</v>
      </c>
      <c r="M48" s="2" t="s">
        <v>21</v>
      </c>
      <c r="N48" s="4">
        <f t="shared" si="3"/>
        <v>100</v>
      </c>
      <c r="O48" s="2" t="s">
        <v>21</v>
      </c>
      <c r="P48" s="4">
        <f t="shared" si="4"/>
        <v>100</v>
      </c>
      <c r="Q48" s="2" t="s">
        <v>27</v>
      </c>
      <c r="R48" s="18">
        <f t="shared" si="5"/>
        <v>100</v>
      </c>
      <c r="S48" s="2" t="s">
        <v>27</v>
      </c>
      <c r="T48" s="4">
        <f t="shared" si="6"/>
        <v>100</v>
      </c>
      <c r="U48" s="2" t="s">
        <v>27</v>
      </c>
      <c r="V48" s="4">
        <f t="shared" si="7"/>
        <v>100</v>
      </c>
      <c r="W48" s="2" t="s">
        <v>27</v>
      </c>
      <c r="X48" s="4">
        <f t="shared" si="8"/>
        <v>100</v>
      </c>
      <c r="Y48" s="2" t="s">
        <v>30</v>
      </c>
      <c r="Z48" s="4">
        <f t="shared" si="9"/>
        <v>100</v>
      </c>
      <c r="AA48" s="2">
        <v>6</v>
      </c>
      <c r="AC48" s="2"/>
    </row>
    <row r="49" spans="1:29" x14ac:dyDescent="0.4">
      <c r="A49" s="2">
        <v>8634553</v>
      </c>
      <c r="B49" s="2" t="s">
        <v>8</v>
      </c>
      <c r="C49" s="2" t="s">
        <v>11</v>
      </c>
      <c r="D49" s="2" t="s">
        <v>15</v>
      </c>
      <c r="E49" s="2" t="s">
        <v>17</v>
      </c>
      <c r="F49" s="2" t="s">
        <v>38</v>
      </c>
      <c r="G49" s="2" t="s">
        <v>22</v>
      </c>
      <c r="H49" s="4">
        <f t="shared" si="0"/>
        <v>75</v>
      </c>
      <c r="I49" s="2" t="s">
        <v>22</v>
      </c>
      <c r="J49" s="4">
        <f t="shared" si="1"/>
        <v>75</v>
      </c>
      <c r="K49" s="2" t="s">
        <v>22</v>
      </c>
      <c r="L49" s="4">
        <f t="shared" si="2"/>
        <v>75</v>
      </c>
      <c r="M49" s="2" t="s">
        <v>22</v>
      </c>
      <c r="N49" s="4">
        <f t="shared" si="3"/>
        <v>75</v>
      </c>
      <c r="O49" s="2" t="s">
        <v>22</v>
      </c>
      <c r="P49" s="4">
        <f t="shared" si="4"/>
        <v>75</v>
      </c>
      <c r="Q49" s="2" t="s">
        <v>26</v>
      </c>
      <c r="R49" s="18">
        <f t="shared" si="5"/>
        <v>75</v>
      </c>
      <c r="S49" s="2" t="s">
        <v>27</v>
      </c>
      <c r="T49" s="4">
        <f t="shared" si="6"/>
        <v>100</v>
      </c>
      <c r="U49" s="2" t="s">
        <v>27</v>
      </c>
      <c r="V49" s="4">
        <f t="shared" si="7"/>
        <v>100</v>
      </c>
      <c r="W49" s="2" t="s">
        <v>26</v>
      </c>
      <c r="X49" s="4">
        <f t="shared" si="8"/>
        <v>75</v>
      </c>
      <c r="Y49" s="2" t="s">
        <v>30</v>
      </c>
      <c r="Z49" s="4">
        <f t="shared" si="9"/>
        <v>100</v>
      </c>
      <c r="AA49" s="2">
        <v>5</v>
      </c>
      <c r="AC49" s="2"/>
    </row>
    <row r="50" spans="1:29" x14ac:dyDescent="0.4">
      <c r="A50" s="2">
        <v>8637294</v>
      </c>
      <c r="B50" s="2" t="s">
        <v>9</v>
      </c>
      <c r="C50" s="2" t="s">
        <v>11</v>
      </c>
      <c r="D50" s="2" t="s">
        <v>15</v>
      </c>
      <c r="E50" s="2" t="s">
        <v>17</v>
      </c>
      <c r="F50" s="2" t="s">
        <v>38</v>
      </c>
      <c r="G50" s="2" t="s">
        <v>21</v>
      </c>
      <c r="H50" s="4">
        <f t="shared" si="0"/>
        <v>100</v>
      </c>
      <c r="I50" s="2" t="s">
        <v>21</v>
      </c>
      <c r="J50" s="4">
        <f t="shared" si="1"/>
        <v>100</v>
      </c>
      <c r="K50" s="2" t="s">
        <v>21</v>
      </c>
      <c r="L50" s="4">
        <f t="shared" si="2"/>
        <v>100</v>
      </c>
      <c r="M50" s="2" t="s">
        <v>21</v>
      </c>
      <c r="N50" s="4">
        <f t="shared" si="3"/>
        <v>100</v>
      </c>
      <c r="O50" s="2" t="s">
        <v>21</v>
      </c>
      <c r="P50" s="4">
        <f t="shared" si="4"/>
        <v>100</v>
      </c>
      <c r="Q50" s="2" t="s">
        <v>27</v>
      </c>
      <c r="R50" s="18">
        <f t="shared" si="5"/>
        <v>100</v>
      </c>
      <c r="S50" s="2" t="s">
        <v>27</v>
      </c>
      <c r="T50" s="4">
        <f t="shared" si="6"/>
        <v>100</v>
      </c>
      <c r="U50" s="2" t="s">
        <v>26</v>
      </c>
      <c r="V50" s="4">
        <f t="shared" si="7"/>
        <v>75</v>
      </c>
      <c r="W50" s="2" t="s">
        <v>27</v>
      </c>
      <c r="X50" s="4">
        <f t="shared" si="8"/>
        <v>100</v>
      </c>
      <c r="Y50" s="2" t="s">
        <v>30</v>
      </c>
      <c r="Z50" s="4">
        <f t="shared" si="9"/>
        <v>100</v>
      </c>
      <c r="AA50" s="3">
        <v>10</v>
      </c>
      <c r="AC50" s="2"/>
    </row>
    <row r="51" spans="1:29" x14ac:dyDescent="0.4">
      <c r="A51" s="2">
        <v>8638605</v>
      </c>
      <c r="B51" s="2" t="s">
        <v>8</v>
      </c>
      <c r="C51" s="2" t="s">
        <v>11</v>
      </c>
      <c r="D51" s="2" t="s">
        <v>16</v>
      </c>
      <c r="E51" s="2" t="s">
        <v>17</v>
      </c>
      <c r="F51" s="2" t="s">
        <v>37</v>
      </c>
      <c r="G51" s="2" t="s">
        <v>22</v>
      </c>
      <c r="H51" s="4">
        <f t="shared" si="0"/>
        <v>75</v>
      </c>
      <c r="I51" s="2" t="s">
        <v>22</v>
      </c>
      <c r="J51" s="4">
        <f t="shared" si="1"/>
        <v>75</v>
      </c>
      <c r="K51" s="2" t="s">
        <v>24</v>
      </c>
      <c r="L51" s="4">
        <f t="shared" si="2"/>
        <v>50</v>
      </c>
      <c r="M51" s="2" t="s">
        <v>24</v>
      </c>
      <c r="N51" s="4">
        <f t="shared" si="3"/>
        <v>50</v>
      </c>
      <c r="O51" s="2" t="s">
        <v>22</v>
      </c>
      <c r="P51" s="4">
        <f t="shared" si="4"/>
        <v>75</v>
      </c>
      <c r="Q51" s="2" t="s">
        <v>24</v>
      </c>
      <c r="R51" s="18">
        <f t="shared" si="5"/>
        <v>50</v>
      </c>
      <c r="S51" s="2" t="s">
        <v>24</v>
      </c>
      <c r="T51" s="4">
        <f t="shared" si="6"/>
        <v>50</v>
      </c>
      <c r="U51" s="2" t="s">
        <v>26</v>
      </c>
      <c r="V51" s="4">
        <f t="shared" si="7"/>
        <v>75</v>
      </c>
      <c r="W51" s="2" t="s">
        <v>27</v>
      </c>
      <c r="X51" s="4">
        <f t="shared" si="8"/>
        <v>100</v>
      </c>
      <c r="Y51" s="2" t="s">
        <v>31</v>
      </c>
      <c r="Z51" s="4">
        <f t="shared" si="9"/>
        <v>66.599999999999994</v>
      </c>
      <c r="AA51" s="2">
        <v>7</v>
      </c>
      <c r="AC51" s="2"/>
    </row>
    <row r="52" spans="1:29" x14ac:dyDescent="0.4">
      <c r="A52" s="2">
        <v>8645133</v>
      </c>
      <c r="B52" s="2" t="s">
        <v>8</v>
      </c>
      <c r="C52" s="2" t="s">
        <v>13</v>
      </c>
      <c r="D52" s="2" t="s">
        <v>15</v>
      </c>
      <c r="E52" s="2" t="s">
        <v>18</v>
      </c>
      <c r="F52" s="2" t="s">
        <v>38</v>
      </c>
      <c r="G52" s="2" t="s">
        <v>21</v>
      </c>
      <c r="H52" s="4">
        <f t="shared" si="0"/>
        <v>100</v>
      </c>
      <c r="I52" s="2" t="s">
        <v>21</v>
      </c>
      <c r="J52" s="4">
        <f t="shared" si="1"/>
        <v>100</v>
      </c>
      <c r="K52" s="2" t="s">
        <v>21</v>
      </c>
      <c r="L52" s="4">
        <f t="shared" si="2"/>
        <v>100</v>
      </c>
      <c r="M52" s="2" t="s">
        <v>21</v>
      </c>
      <c r="N52" s="4">
        <f t="shared" si="3"/>
        <v>100</v>
      </c>
      <c r="O52" s="2" t="s">
        <v>21</v>
      </c>
      <c r="P52" s="4">
        <f t="shared" si="4"/>
        <v>100</v>
      </c>
      <c r="Q52" s="2" t="s">
        <v>27</v>
      </c>
      <c r="R52" s="18">
        <f t="shared" si="5"/>
        <v>100</v>
      </c>
      <c r="S52" s="2" t="s">
        <v>27</v>
      </c>
      <c r="T52" s="4">
        <f t="shared" si="6"/>
        <v>100</v>
      </c>
      <c r="U52" s="2" t="s">
        <v>27</v>
      </c>
      <c r="V52" s="4">
        <f t="shared" si="7"/>
        <v>100</v>
      </c>
      <c r="W52" s="2" t="s">
        <v>27</v>
      </c>
      <c r="X52" s="4">
        <f t="shared" si="8"/>
        <v>100</v>
      </c>
      <c r="Y52" s="2" t="s">
        <v>30</v>
      </c>
      <c r="Z52" s="4">
        <f t="shared" si="9"/>
        <v>100</v>
      </c>
      <c r="AA52" s="2">
        <v>9</v>
      </c>
      <c r="AC52" s="2"/>
    </row>
    <row r="53" spans="1:29" x14ac:dyDescent="0.4">
      <c r="A53" s="2">
        <v>8650629</v>
      </c>
      <c r="B53" s="2" t="s">
        <v>9</v>
      </c>
      <c r="C53" s="2" t="s">
        <v>11</v>
      </c>
      <c r="D53" s="2" t="s">
        <v>16</v>
      </c>
      <c r="E53" s="2" t="s">
        <v>17</v>
      </c>
      <c r="F53" s="2" t="s">
        <v>38</v>
      </c>
      <c r="G53" s="2" t="s">
        <v>23</v>
      </c>
      <c r="H53" s="4">
        <f t="shared" si="0"/>
        <v>25</v>
      </c>
      <c r="I53" s="2" t="s">
        <v>23</v>
      </c>
      <c r="J53" s="4">
        <f t="shared" si="1"/>
        <v>25</v>
      </c>
      <c r="K53" s="2" t="s">
        <v>23</v>
      </c>
      <c r="L53" s="4">
        <f t="shared" si="2"/>
        <v>25</v>
      </c>
      <c r="M53" s="2" t="s">
        <v>23</v>
      </c>
      <c r="N53" s="4">
        <f t="shared" si="3"/>
        <v>25</v>
      </c>
      <c r="O53" s="2" t="s">
        <v>22</v>
      </c>
      <c r="P53" s="4">
        <f t="shared" si="4"/>
        <v>75</v>
      </c>
      <c r="Q53" s="2" t="s">
        <v>26</v>
      </c>
      <c r="R53" s="18">
        <f t="shared" si="5"/>
        <v>75</v>
      </c>
      <c r="S53" s="2" t="s">
        <v>27</v>
      </c>
      <c r="T53" s="4">
        <f t="shared" si="6"/>
        <v>100</v>
      </c>
      <c r="U53" s="2" t="s">
        <v>27</v>
      </c>
      <c r="V53" s="4">
        <f t="shared" si="7"/>
        <v>100</v>
      </c>
      <c r="W53" s="2" t="s">
        <v>27</v>
      </c>
      <c r="X53" s="4">
        <f t="shared" si="8"/>
        <v>100</v>
      </c>
      <c r="Y53" s="2" t="s">
        <v>31</v>
      </c>
      <c r="Z53" s="4">
        <f t="shared" si="9"/>
        <v>66.599999999999994</v>
      </c>
      <c r="AA53" s="2">
        <v>4</v>
      </c>
      <c r="AC53" s="2"/>
    </row>
    <row r="54" spans="1:29" x14ac:dyDescent="0.4">
      <c r="A54" s="2">
        <v>8658991</v>
      </c>
      <c r="B54" s="2" t="s">
        <v>8</v>
      </c>
      <c r="C54" s="2" t="s">
        <v>13</v>
      </c>
      <c r="D54" s="2" t="s">
        <v>15</v>
      </c>
      <c r="E54" s="2" t="s">
        <v>18</v>
      </c>
      <c r="F54" s="2" t="s">
        <v>38</v>
      </c>
      <c r="G54" s="2" t="s">
        <v>24</v>
      </c>
      <c r="H54" s="4">
        <f t="shared" si="0"/>
        <v>50</v>
      </c>
      <c r="I54" s="2" t="s">
        <v>22</v>
      </c>
      <c r="J54" s="4">
        <f t="shared" si="1"/>
        <v>75</v>
      </c>
      <c r="K54" s="2" t="s">
        <v>24</v>
      </c>
      <c r="L54" s="4">
        <f t="shared" si="2"/>
        <v>50</v>
      </c>
      <c r="M54" s="2" t="s">
        <v>24</v>
      </c>
      <c r="N54" s="4">
        <f t="shared" si="3"/>
        <v>50</v>
      </c>
      <c r="O54" s="2" t="s">
        <v>24</v>
      </c>
      <c r="P54" s="4">
        <f t="shared" si="4"/>
        <v>50</v>
      </c>
      <c r="Q54" s="2" t="s">
        <v>24</v>
      </c>
      <c r="R54" s="18">
        <f t="shared" si="5"/>
        <v>50</v>
      </c>
      <c r="S54" s="2" t="s">
        <v>24</v>
      </c>
      <c r="T54" s="4">
        <f t="shared" si="6"/>
        <v>50</v>
      </c>
      <c r="U54" s="2" t="s">
        <v>24</v>
      </c>
      <c r="V54" s="4">
        <f t="shared" si="7"/>
        <v>50</v>
      </c>
      <c r="W54" s="2" t="s">
        <v>24</v>
      </c>
      <c r="X54" s="4">
        <f t="shared" si="8"/>
        <v>50</v>
      </c>
      <c r="Y54" s="2" t="s">
        <v>24</v>
      </c>
      <c r="Z54" s="4">
        <f t="shared" si="9"/>
        <v>33.299999999999997</v>
      </c>
      <c r="AA54" s="2">
        <v>5</v>
      </c>
      <c r="AC54" s="2"/>
    </row>
    <row r="55" spans="1:29" x14ac:dyDescent="0.4">
      <c r="A55" s="2">
        <v>8663424</v>
      </c>
      <c r="B55" s="2" t="s">
        <v>8</v>
      </c>
      <c r="C55" s="2" t="s">
        <v>12</v>
      </c>
      <c r="D55" s="2" t="s">
        <v>15</v>
      </c>
      <c r="E55" s="2" t="s">
        <v>17</v>
      </c>
      <c r="F55" s="2" t="s">
        <v>39</v>
      </c>
      <c r="G55" s="2" t="s">
        <v>21</v>
      </c>
      <c r="H55" s="4">
        <f t="shared" si="0"/>
        <v>100</v>
      </c>
      <c r="I55" s="2" t="s">
        <v>21</v>
      </c>
      <c r="J55" s="4">
        <f t="shared" si="1"/>
        <v>100</v>
      </c>
      <c r="K55" s="2" t="s">
        <v>21</v>
      </c>
      <c r="L55" s="4">
        <f t="shared" si="2"/>
        <v>100</v>
      </c>
      <c r="M55" s="2"/>
      <c r="N55" s="4" t="str">
        <f t="shared" si="3"/>
        <v/>
      </c>
      <c r="O55" s="2" t="s">
        <v>21</v>
      </c>
      <c r="P55" s="4">
        <f t="shared" si="4"/>
        <v>100</v>
      </c>
      <c r="Q55" s="2" t="s">
        <v>27</v>
      </c>
      <c r="R55" s="18">
        <f t="shared" si="5"/>
        <v>100</v>
      </c>
      <c r="S55" s="2" t="s">
        <v>27</v>
      </c>
      <c r="T55" s="4">
        <f t="shared" si="6"/>
        <v>100</v>
      </c>
      <c r="U55" s="2"/>
      <c r="V55" s="4" t="str">
        <f t="shared" si="7"/>
        <v/>
      </c>
      <c r="W55" s="2" t="s">
        <v>27</v>
      </c>
      <c r="X55" s="4">
        <f t="shared" si="8"/>
        <v>100</v>
      </c>
      <c r="Y55" s="2" t="s">
        <v>30</v>
      </c>
      <c r="Z55" s="4">
        <f t="shared" si="9"/>
        <v>100</v>
      </c>
      <c r="AA55" s="2">
        <v>10</v>
      </c>
      <c r="AC55" s="2"/>
    </row>
    <row r="56" spans="1:29" x14ac:dyDescent="0.4">
      <c r="A56" s="2">
        <v>8698678</v>
      </c>
      <c r="B56" s="2" t="s">
        <v>9</v>
      </c>
      <c r="C56" s="2" t="s">
        <v>10</v>
      </c>
      <c r="D56" s="2" t="s">
        <v>15</v>
      </c>
      <c r="E56" s="2" t="s">
        <v>18</v>
      </c>
      <c r="F56" s="2" t="s">
        <v>38</v>
      </c>
      <c r="G56" s="2" t="s">
        <v>23</v>
      </c>
      <c r="H56" s="4">
        <f t="shared" si="0"/>
        <v>25</v>
      </c>
      <c r="I56" s="2" t="s">
        <v>22</v>
      </c>
      <c r="J56" s="4">
        <f t="shared" si="1"/>
        <v>75</v>
      </c>
      <c r="K56" s="2" t="s">
        <v>21</v>
      </c>
      <c r="L56" s="4">
        <f t="shared" si="2"/>
        <v>100</v>
      </c>
      <c r="M56" s="2" t="s">
        <v>21</v>
      </c>
      <c r="N56" s="4">
        <f t="shared" si="3"/>
        <v>100</v>
      </c>
      <c r="O56" s="2" t="s">
        <v>22</v>
      </c>
      <c r="P56" s="4">
        <f t="shared" si="4"/>
        <v>75</v>
      </c>
      <c r="Q56" s="2" t="s">
        <v>27</v>
      </c>
      <c r="R56" s="18">
        <f t="shared" si="5"/>
        <v>100</v>
      </c>
      <c r="S56" s="2" t="s">
        <v>27</v>
      </c>
      <c r="T56" s="4">
        <f t="shared" si="6"/>
        <v>100</v>
      </c>
      <c r="U56" s="2" t="s">
        <v>29</v>
      </c>
      <c r="V56" s="4">
        <f t="shared" si="7"/>
        <v>25</v>
      </c>
      <c r="W56" s="2" t="s">
        <v>29</v>
      </c>
      <c r="X56" s="4">
        <f t="shared" si="8"/>
        <v>25</v>
      </c>
      <c r="Y56" s="2" t="s">
        <v>30</v>
      </c>
      <c r="Z56" s="4">
        <f t="shared" si="9"/>
        <v>100</v>
      </c>
      <c r="AA56" s="2">
        <v>6</v>
      </c>
      <c r="AC56" s="2"/>
    </row>
    <row r="57" spans="1:29" x14ac:dyDescent="0.4">
      <c r="A57" s="2">
        <v>8703292</v>
      </c>
      <c r="B57" s="2" t="s">
        <v>9</v>
      </c>
      <c r="C57" s="2" t="s">
        <v>10</v>
      </c>
      <c r="D57" s="2" t="s">
        <v>15</v>
      </c>
      <c r="E57" s="2" t="s">
        <v>18</v>
      </c>
      <c r="F57" s="2" t="s">
        <v>38</v>
      </c>
      <c r="G57" s="2" t="s">
        <v>22</v>
      </c>
      <c r="H57" s="4">
        <f t="shared" si="0"/>
        <v>75</v>
      </c>
      <c r="I57" s="2" t="s">
        <v>23</v>
      </c>
      <c r="J57" s="4">
        <f t="shared" si="1"/>
        <v>25</v>
      </c>
      <c r="K57" s="2" t="s">
        <v>22</v>
      </c>
      <c r="L57" s="4">
        <f t="shared" si="2"/>
        <v>75</v>
      </c>
      <c r="M57" s="2" t="s">
        <v>22</v>
      </c>
      <c r="N57" s="4">
        <f t="shared" si="3"/>
        <v>75</v>
      </c>
      <c r="O57" s="2" t="s">
        <v>24</v>
      </c>
      <c r="P57" s="4">
        <f t="shared" si="4"/>
        <v>50</v>
      </c>
      <c r="Q57" s="2" t="s">
        <v>24</v>
      </c>
      <c r="R57" s="18">
        <f t="shared" si="5"/>
        <v>50</v>
      </c>
      <c r="S57" s="2" t="s">
        <v>26</v>
      </c>
      <c r="T57" s="4">
        <f t="shared" si="6"/>
        <v>75</v>
      </c>
      <c r="U57" s="2" t="s">
        <v>29</v>
      </c>
      <c r="V57" s="4">
        <f t="shared" si="7"/>
        <v>25</v>
      </c>
      <c r="W57" s="2" t="s">
        <v>24</v>
      </c>
      <c r="X57" s="4">
        <f t="shared" si="8"/>
        <v>50</v>
      </c>
      <c r="Y57" s="2" t="s">
        <v>32</v>
      </c>
      <c r="Z57" s="4">
        <f t="shared" si="9"/>
        <v>0</v>
      </c>
      <c r="AA57" s="2">
        <v>5</v>
      </c>
      <c r="AC57" s="2"/>
    </row>
    <row r="58" spans="1:29" x14ac:dyDescent="0.4">
      <c r="A58" s="2">
        <v>8706189</v>
      </c>
      <c r="B58" s="2" t="s">
        <v>9</v>
      </c>
      <c r="C58" s="2" t="s">
        <v>10</v>
      </c>
      <c r="D58" s="2" t="s">
        <v>15</v>
      </c>
      <c r="E58" s="2" t="s">
        <v>19</v>
      </c>
      <c r="F58" s="2" t="s">
        <v>39</v>
      </c>
      <c r="G58" s="2" t="s">
        <v>24</v>
      </c>
      <c r="H58" s="4">
        <f t="shared" si="0"/>
        <v>50</v>
      </c>
      <c r="I58" s="2" t="s">
        <v>24</v>
      </c>
      <c r="J58" s="4">
        <f t="shared" si="1"/>
        <v>50</v>
      </c>
      <c r="K58" s="2" t="s">
        <v>24</v>
      </c>
      <c r="L58" s="4">
        <f t="shared" si="2"/>
        <v>50</v>
      </c>
      <c r="M58" s="2"/>
      <c r="N58" s="4" t="str">
        <f t="shared" si="3"/>
        <v/>
      </c>
      <c r="O58" s="2" t="s">
        <v>24</v>
      </c>
      <c r="P58" s="4">
        <f t="shared" si="4"/>
        <v>50</v>
      </c>
      <c r="Q58" s="2" t="s">
        <v>24</v>
      </c>
      <c r="R58" s="18">
        <f t="shared" si="5"/>
        <v>50</v>
      </c>
      <c r="S58" s="2" t="s">
        <v>24</v>
      </c>
      <c r="T58" s="4">
        <f t="shared" si="6"/>
        <v>50</v>
      </c>
      <c r="U58" s="2"/>
      <c r="V58" s="4" t="str">
        <f t="shared" si="7"/>
        <v/>
      </c>
      <c r="W58" s="2" t="s">
        <v>24</v>
      </c>
      <c r="X58" s="4">
        <f t="shared" si="8"/>
        <v>50</v>
      </c>
      <c r="Y58" s="2" t="s">
        <v>24</v>
      </c>
      <c r="Z58" s="4">
        <f t="shared" si="9"/>
        <v>33.299999999999997</v>
      </c>
      <c r="AA58" s="2">
        <v>6</v>
      </c>
      <c r="AC58" s="2"/>
    </row>
    <row r="59" spans="1:29" x14ac:dyDescent="0.4">
      <c r="A59" s="2">
        <v>8707651</v>
      </c>
      <c r="B59" s="2" t="s">
        <v>8</v>
      </c>
      <c r="C59" s="2" t="s">
        <v>13</v>
      </c>
      <c r="D59" s="2" t="s">
        <v>16</v>
      </c>
      <c r="E59" s="2" t="s">
        <v>19</v>
      </c>
      <c r="F59" s="2" t="s">
        <v>38</v>
      </c>
      <c r="G59" s="2" t="s">
        <v>21</v>
      </c>
      <c r="H59" s="4">
        <f t="shared" si="0"/>
        <v>100</v>
      </c>
      <c r="I59" s="2" t="s">
        <v>21</v>
      </c>
      <c r="J59" s="4">
        <f t="shared" si="1"/>
        <v>100</v>
      </c>
      <c r="K59" s="2" t="s">
        <v>21</v>
      </c>
      <c r="L59" s="4">
        <f t="shared" si="2"/>
        <v>100</v>
      </c>
      <c r="M59" s="2" t="s">
        <v>21</v>
      </c>
      <c r="N59" s="4">
        <f t="shared" si="3"/>
        <v>100</v>
      </c>
      <c r="O59" s="2" t="s">
        <v>21</v>
      </c>
      <c r="P59" s="4">
        <f t="shared" si="4"/>
        <v>100</v>
      </c>
      <c r="Q59" s="2" t="s">
        <v>27</v>
      </c>
      <c r="R59" s="18">
        <f t="shared" si="5"/>
        <v>100</v>
      </c>
      <c r="S59" s="2" t="s">
        <v>27</v>
      </c>
      <c r="T59" s="4">
        <f t="shared" si="6"/>
        <v>100</v>
      </c>
      <c r="U59" s="2" t="s">
        <v>27</v>
      </c>
      <c r="V59" s="4">
        <f t="shared" si="7"/>
        <v>100</v>
      </c>
      <c r="W59" s="2" t="s">
        <v>27</v>
      </c>
      <c r="X59" s="4">
        <f t="shared" si="8"/>
        <v>100</v>
      </c>
      <c r="Y59" s="2" t="s">
        <v>30</v>
      </c>
      <c r="Z59" s="4">
        <f t="shared" si="9"/>
        <v>100</v>
      </c>
      <c r="AA59" s="2">
        <v>8</v>
      </c>
      <c r="AC59" s="2"/>
    </row>
    <row r="60" spans="1:29" x14ac:dyDescent="0.4">
      <c r="A60" s="2">
        <v>8723649</v>
      </c>
      <c r="B60" s="2" t="s">
        <v>9</v>
      </c>
      <c r="C60" s="2" t="s">
        <v>13</v>
      </c>
      <c r="D60" s="2" t="s">
        <v>15</v>
      </c>
      <c r="E60" s="2" t="s">
        <v>19</v>
      </c>
      <c r="F60" s="2" t="s">
        <v>37</v>
      </c>
      <c r="G60" s="2" t="s">
        <v>21</v>
      </c>
      <c r="H60" s="4">
        <f t="shared" si="0"/>
        <v>100</v>
      </c>
      <c r="I60" s="2" t="s">
        <v>21</v>
      </c>
      <c r="J60" s="4">
        <f t="shared" si="1"/>
        <v>100</v>
      </c>
      <c r="K60" s="2" t="s">
        <v>21</v>
      </c>
      <c r="L60" s="4">
        <f t="shared" si="2"/>
        <v>100</v>
      </c>
      <c r="M60" s="2" t="s">
        <v>21</v>
      </c>
      <c r="N60" s="4">
        <f t="shared" si="3"/>
        <v>100</v>
      </c>
      <c r="O60" s="2" t="s">
        <v>21</v>
      </c>
      <c r="P60" s="4">
        <f t="shared" si="4"/>
        <v>100</v>
      </c>
      <c r="Q60" s="2" t="s">
        <v>27</v>
      </c>
      <c r="R60" s="18">
        <f t="shared" si="5"/>
        <v>100</v>
      </c>
      <c r="S60" s="2" t="s">
        <v>27</v>
      </c>
      <c r="T60" s="4">
        <f t="shared" si="6"/>
        <v>100</v>
      </c>
      <c r="U60" s="2" t="s">
        <v>27</v>
      </c>
      <c r="V60" s="4">
        <f t="shared" si="7"/>
        <v>100</v>
      </c>
      <c r="W60" s="2" t="s">
        <v>27</v>
      </c>
      <c r="X60" s="4">
        <f t="shared" si="8"/>
        <v>100</v>
      </c>
      <c r="Y60" s="2" t="s">
        <v>30</v>
      </c>
      <c r="Z60" s="4">
        <f t="shared" si="9"/>
        <v>100</v>
      </c>
      <c r="AA60" s="2">
        <v>10</v>
      </c>
      <c r="AC60" s="2"/>
    </row>
    <row r="61" spans="1:29" x14ac:dyDescent="0.4">
      <c r="A61" s="2">
        <v>8724198</v>
      </c>
      <c r="B61" s="2" t="s">
        <v>8</v>
      </c>
      <c r="C61" s="2" t="s">
        <v>12</v>
      </c>
      <c r="D61" s="2" t="s">
        <v>15</v>
      </c>
      <c r="E61" s="2" t="s">
        <v>19</v>
      </c>
      <c r="F61" s="2" t="s">
        <v>39</v>
      </c>
      <c r="G61" s="2" t="s">
        <v>22</v>
      </c>
      <c r="H61" s="4">
        <f t="shared" si="0"/>
        <v>75</v>
      </c>
      <c r="I61" s="2" t="s">
        <v>22</v>
      </c>
      <c r="J61" s="4">
        <f t="shared" si="1"/>
        <v>75</v>
      </c>
      <c r="K61" s="2" t="s">
        <v>22</v>
      </c>
      <c r="L61" s="4">
        <f t="shared" si="2"/>
        <v>75</v>
      </c>
      <c r="M61" s="2"/>
      <c r="N61" s="4" t="str">
        <f t="shared" si="3"/>
        <v/>
      </c>
      <c r="O61" s="2" t="s">
        <v>21</v>
      </c>
      <c r="P61" s="4">
        <f t="shared" si="4"/>
        <v>100</v>
      </c>
      <c r="Q61" s="2" t="s">
        <v>26</v>
      </c>
      <c r="R61" s="18">
        <f t="shared" si="5"/>
        <v>75</v>
      </c>
      <c r="S61" s="2" t="s">
        <v>26</v>
      </c>
      <c r="T61" s="4">
        <f t="shared" si="6"/>
        <v>75</v>
      </c>
      <c r="U61" s="2"/>
      <c r="V61" s="4" t="str">
        <f t="shared" si="7"/>
        <v/>
      </c>
      <c r="W61" s="2" t="s">
        <v>27</v>
      </c>
      <c r="X61" s="4">
        <f t="shared" si="8"/>
        <v>100</v>
      </c>
      <c r="Y61" s="2" t="s">
        <v>30</v>
      </c>
      <c r="Z61" s="4">
        <f t="shared" si="9"/>
        <v>100</v>
      </c>
      <c r="AA61" s="2">
        <v>8</v>
      </c>
      <c r="AC61" s="2"/>
    </row>
    <row r="62" spans="1:29" x14ac:dyDescent="0.4">
      <c r="A62" s="2">
        <v>8729429</v>
      </c>
      <c r="B62" s="2" t="s">
        <v>9</v>
      </c>
      <c r="C62" s="2" t="s">
        <v>12</v>
      </c>
      <c r="D62" s="2" t="s">
        <v>16</v>
      </c>
      <c r="E62" s="2" t="s">
        <v>20</v>
      </c>
      <c r="F62" s="2" t="s">
        <v>39</v>
      </c>
      <c r="G62" s="2" t="s">
        <v>22</v>
      </c>
      <c r="H62" s="4">
        <f t="shared" si="0"/>
        <v>75</v>
      </c>
      <c r="I62" s="2" t="s">
        <v>24</v>
      </c>
      <c r="J62" s="4">
        <f t="shared" si="1"/>
        <v>50</v>
      </c>
      <c r="K62" s="2" t="s">
        <v>24</v>
      </c>
      <c r="L62" s="4">
        <f t="shared" si="2"/>
        <v>50</v>
      </c>
      <c r="M62" s="2"/>
      <c r="N62" s="4" t="str">
        <f t="shared" si="3"/>
        <v/>
      </c>
      <c r="O62" s="2" t="s">
        <v>22</v>
      </c>
      <c r="P62" s="4">
        <f t="shared" si="4"/>
        <v>75</v>
      </c>
      <c r="Q62" s="2" t="s">
        <v>24</v>
      </c>
      <c r="R62" s="18">
        <f t="shared" si="5"/>
        <v>50</v>
      </c>
      <c r="S62" s="2" t="s">
        <v>24</v>
      </c>
      <c r="T62" s="4">
        <f t="shared" si="6"/>
        <v>50</v>
      </c>
      <c r="U62" s="2"/>
      <c r="V62" s="4" t="str">
        <f t="shared" si="7"/>
        <v/>
      </c>
      <c r="W62" s="2" t="s">
        <v>26</v>
      </c>
      <c r="X62" s="4">
        <f t="shared" si="8"/>
        <v>75</v>
      </c>
      <c r="Y62" s="2" t="s">
        <v>31</v>
      </c>
      <c r="Z62" s="4">
        <f t="shared" si="9"/>
        <v>66.599999999999994</v>
      </c>
      <c r="AA62" s="2">
        <v>6</v>
      </c>
      <c r="AC62" s="2"/>
    </row>
    <row r="63" spans="1:29" x14ac:dyDescent="0.4">
      <c r="A63" s="2">
        <v>8730304</v>
      </c>
      <c r="B63" s="2" t="s">
        <v>9</v>
      </c>
      <c r="C63" s="2" t="s">
        <v>14</v>
      </c>
      <c r="D63" s="2" t="s">
        <v>15</v>
      </c>
      <c r="E63" s="2" t="s">
        <v>19</v>
      </c>
      <c r="F63" s="2" t="s">
        <v>38</v>
      </c>
      <c r="G63" s="2" t="s">
        <v>22</v>
      </c>
      <c r="H63" s="4">
        <f t="shared" si="0"/>
        <v>75</v>
      </c>
      <c r="I63" s="2" t="s">
        <v>21</v>
      </c>
      <c r="J63" s="4">
        <f t="shared" si="1"/>
        <v>100</v>
      </c>
      <c r="K63" s="2" t="s">
        <v>22</v>
      </c>
      <c r="L63" s="4">
        <f t="shared" si="2"/>
        <v>75</v>
      </c>
      <c r="M63" s="2" t="s">
        <v>22</v>
      </c>
      <c r="N63" s="4">
        <f t="shared" si="3"/>
        <v>75</v>
      </c>
      <c r="O63" s="2" t="s">
        <v>22</v>
      </c>
      <c r="P63" s="4">
        <f t="shared" si="4"/>
        <v>75</v>
      </c>
      <c r="Q63" s="2" t="s">
        <v>26</v>
      </c>
      <c r="R63" s="18">
        <f t="shared" si="5"/>
        <v>75</v>
      </c>
      <c r="S63" s="2" t="s">
        <v>26</v>
      </c>
      <c r="T63" s="4">
        <f t="shared" si="6"/>
        <v>75</v>
      </c>
      <c r="U63" s="2" t="s">
        <v>27</v>
      </c>
      <c r="V63" s="4">
        <f t="shared" si="7"/>
        <v>100</v>
      </c>
      <c r="W63" s="2" t="s">
        <v>26</v>
      </c>
      <c r="X63" s="4">
        <f t="shared" si="8"/>
        <v>75</v>
      </c>
      <c r="Y63" s="2" t="s">
        <v>30</v>
      </c>
      <c r="Z63" s="4">
        <f t="shared" si="9"/>
        <v>100</v>
      </c>
      <c r="AA63" s="2">
        <v>9</v>
      </c>
      <c r="AC63" s="2"/>
    </row>
    <row r="64" spans="1:29" x14ac:dyDescent="0.4">
      <c r="A64" s="2">
        <v>8735454</v>
      </c>
      <c r="B64" s="2" t="s">
        <v>8</v>
      </c>
      <c r="C64" s="2" t="s">
        <v>11</v>
      </c>
      <c r="D64" s="2" t="s">
        <v>15</v>
      </c>
      <c r="E64" s="2" t="s">
        <v>20</v>
      </c>
      <c r="F64" s="2" t="s">
        <v>39</v>
      </c>
      <c r="G64" s="2" t="s">
        <v>21</v>
      </c>
      <c r="H64" s="4">
        <f t="shared" si="0"/>
        <v>100</v>
      </c>
      <c r="I64" s="2" t="s">
        <v>21</v>
      </c>
      <c r="J64" s="4">
        <f t="shared" si="1"/>
        <v>100</v>
      </c>
      <c r="K64" s="2" t="s">
        <v>21</v>
      </c>
      <c r="L64" s="4">
        <f t="shared" si="2"/>
        <v>100</v>
      </c>
      <c r="M64" s="2"/>
      <c r="N64" s="4" t="str">
        <f t="shared" si="3"/>
        <v/>
      </c>
      <c r="O64" s="2" t="s">
        <v>21</v>
      </c>
      <c r="P64" s="4">
        <f t="shared" si="4"/>
        <v>100</v>
      </c>
      <c r="Q64" s="2" t="s">
        <v>27</v>
      </c>
      <c r="R64" s="18">
        <f t="shared" si="5"/>
        <v>100</v>
      </c>
      <c r="S64" s="2" t="s">
        <v>27</v>
      </c>
      <c r="T64" s="4">
        <f t="shared" si="6"/>
        <v>100</v>
      </c>
      <c r="U64" s="2"/>
      <c r="V64" s="4" t="str">
        <f t="shared" si="7"/>
        <v/>
      </c>
      <c r="W64" s="2" t="s">
        <v>27</v>
      </c>
      <c r="X64" s="4">
        <f t="shared" si="8"/>
        <v>100</v>
      </c>
      <c r="Y64" s="2" t="s">
        <v>30</v>
      </c>
      <c r="Z64" s="4">
        <f t="shared" si="9"/>
        <v>100</v>
      </c>
      <c r="AA64" s="2">
        <v>10</v>
      </c>
      <c r="AC64" s="2"/>
    </row>
    <row r="65" spans="1:29" x14ac:dyDescent="0.4">
      <c r="A65" s="2">
        <v>8741273</v>
      </c>
      <c r="B65" s="2" t="s">
        <v>8</v>
      </c>
      <c r="C65" s="2" t="s">
        <v>14</v>
      </c>
      <c r="D65" s="2" t="s">
        <v>15</v>
      </c>
      <c r="E65" s="2" t="s">
        <v>20</v>
      </c>
      <c r="F65" s="2" t="s">
        <v>39</v>
      </c>
      <c r="G65" s="2" t="s">
        <v>22</v>
      </c>
      <c r="H65" s="4">
        <f t="shared" si="0"/>
        <v>75</v>
      </c>
      <c r="I65" s="2" t="s">
        <v>22</v>
      </c>
      <c r="J65" s="4">
        <f t="shared" si="1"/>
        <v>75</v>
      </c>
      <c r="K65" s="2" t="s">
        <v>22</v>
      </c>
      <c r="L65" s="4">
        <f t="shared" si="2"/>
        <v>75</v>
      </c>
      <c r="M65" s="2"/>
      <c r="N65" s="4" t="str">
        <f t="shared" si="3"/>
        <v/>
      </c>
      <c r="O65" s="2" t="s">
        <v>22</v>
      </c>
      <c r="P65" s="4">
        <f t="shared" si="4"/>
        <v>75</v>
      </c>
      <c r="Q65" s="2" t="s">
        <v>26</v>
      </c>
      <c r="R65" s="18">
        <f t="shared" si="5"/>
        <v>75</v>
      </c>
      <c r="S65" s="2" t="s">
        <v>26</v>
      </c>
      <c r="T65" s="4">
        <f t="shared" si="6"/>
        <v>75</v>
      </c>
      <c r="U65" s="2"/>
      <c r="V65" s="4" t="str">
        <f t="shared" si="7"/>
        <v/>
      </c>
      <c r="W65" s="2" t="s">
        <v>26</v>
      </c>
      <c r="X65" s="4">
        <f t="shared" si="8"/>
        <v>75</v>
      </c>
      <c r="Y65" s="3" t="s">
        <v>69</v>
      </c>
      <c r="Z65" s="4">
        <f t="shared" si="9"/>
        <v>66.599999999999994</v>
      </c>
      <c r="AA65" s="2">
        <v>7</v>
      </c>
      <c r="AC65" s="2"/>
    </row>
    <row r="66" spans="1:29" x14ac:dyDescent="0.4">
      <c r="A66" s="2">
        <v>8751414</v>
      </c>
      <c r="B66" s="2" t="s">
        <v>8</v>
      </c>
      <c r="C66" s="2" t="s">
        <v>11</v>
      </c>
      <c r="D66" s="2" t="s">
        <v>15</v>
      </c>
      <c r="E66" s="2" t="s">
        <v>18</v>
      </c>
      <c r="F66" s="2" t="s">
        <v>39</v>
      </c>
      <c r="G66" s="2" t="s">
        <v>22</v>
      </c>
      <c r="H66" s="4">
        <f t="shared" si="0"/>
        <v>75</v>
      </c>
      <c r="I66" s="2" t="s">
        <v>22</v>
      </c>
      <c r="J66" s="4">
        <f t="shared" si="1"/>
        <v>75</v>
      </c>
      <c r="K66" s="2" t="s">
        <v>22</v>
      </c>
      <c r="L66" s="4">
        <f t="shared" si="2"/>
        <v>75</v>
      </c>
      <c r="M66" s="2"/>
      <c r="N66" s="4" t="str">
        <f t="shared" si="3"/>
        <v/>
      </c>
      <c r="O66" s="2" t="s">
        <v>22</v>
      </c>
      <c r="P66" s="4">
        <f t="shared" si="4"/>
        <v>75</v>
      </c>
      <c r="Q66" s="2" t="s">
        <v>26</v>
      </c>
      <c r="R66" s="18">
        <f t="shared" si="5"/>
        <v>75</v>
      </c>
      <c r="S66" s="2" t="s">
        <v>26</v>
      </c>
      <c r="T66" s="4">
        <f t="shared" si="6"/>
        <v>75</v>
      </c>
      <c r="U66" s="2"/>
      <c r="V66" s="4" t="str">
        <f t="shared" si="7"/>
        <v/>
      </c>
      <c r="W66" s="2" t="s">
        <v>26</v>
      </c>
      <c r="X66" s="4">
        <f t="shared" si="8"/>
        <v>75</v>
      </c>
      <c r="Y66" s="2" t="s">
        <v>31</v>
      </c>
      <c r="Z66" s="4">
        <f t="shared" si="9"/>
        <v>66.599999999999994</v>
      </c>
      <c r="AA66" s="2">
        <v>6</v>
      </c>
      <c r="AC66" s="2"/>
    </row>
    <row r="67" spans="1:29" x14ac:dyDescent="0.4">
      <c r="A67" s="2">
        <v>8767583</v>
      </c>
      <c r="B67" s="2" t="s">
        <v>9</v>
      </c>
      <c r="C67" s="2" t="s">
        <v>12</v>
      </c>
      <c r="D67" s="2" t="s">
        <v>15</v>
      </c>
      <c r="E67" s="2" t="s">
        <v>17</v>
      </c>
      <c r="F67" s="2" t="s">
        <v>39</v>
      </c>
      <c r="G67" s="2" t="s">
        <v>21</v>
      </c>
      <c r="H67" s="4">
        <f t="shared" si="0"/>
        <v>100</v>
      </c>
      <c r="I67" s="2" t="s">
        <v>21</v>
      </c>
      <c r="J67" s="4">
        <f t="shared" si="1"/>
        <v>100</v>
      </c>
      <c r="K67" s="2" t="s">
        <v>21</v>
      </c>
      <c r="L67" s="4">
        <f t="shared" si="2"/>
        <v>100</v>
      </c>
      <c r="M67" s="2"/>
      <c r="N67" s="4" t="str">
        <f t="shared" si="3"/>
        <v/>
      </c>
      <c r="O67" s="2" t="s">
        <v>21</v>
      </c>
      <c r="P67" s="4">
        <f t="shared" si="4"/>
        <v>100</v>
      </c>
      <c r="Q67" s="2" t="s">
        <v>27</v>
      </c>
      <c r="R67" s="18">
        <f t="shared" si="5"/>
        <v>100</v>
      </c>
      <c r="S67" s="2" t="s">
        <v>27</v>
      </c>
      <c r="T67" s="4">
        <f t="shared" si="6"/>
        <v>100</v>
      </c>
      <c r="U67" s="2"/>
      <c r="V67" s="4" t="str">
        <f t="shared" si="7"/>
        <v/>
      </c>
      <c r="W67" s="2" t="s">
        <v>27</v>
      </c>
      <c r="X67" s="4">
        <f t="shared" si="8"/>
        <v>100</v>
      </c>
      <c r="Y67" s="2" t="s">
        <v>30</v>
      </c>
      <c r="Z67" s="4">
        <f t="shared" si="9"/>
        <v>100</v>
      </c>
      <c r="AA67" s="2">
        <v>10</v>
      </c>
      <c r="AC67" s="2"/>
    </row>
    <row r="68" spans="1:29" x14ac:dyDescent="0.4">
      <c r="A68" s="2">
        <v>8782157</v>
      </c>
      <c r="B68" s="2" t="s">
        <v>8</v>
      </c>
      <c r="C68" s="2" t="s">
        <v>10</v>
      </c>
      <c r="D68" s="2" t="s">
        <v>15</v>
      </c>
      <c r="E68" s="2" t="s">
        <v>17</v>
      </c>
      <c r="F68" s="2" t="s">
        <v>37</v>
      </c>
      <c r="G68" s="2" t="s">
        <v>22</v>
      </c>
      <c r="H68" s="4">
        <f t="shared" si="0"/>
        <v>75</v>
      </c>
      <c r="I68" s="2" t="s">
        <v>22</v>
      </c>
      <c r="J68" s="4">
        <f t="shared" si="1"/>
        <v>75</v>
      </c>
      <c r="K68" s="2" t="s">
        <v>22</v>
      </c>
      <c r="L68" s="4">
        <f t="shared" si="2"/>
        <v>75</v>
      </c>
      <c r="M68" s="2" t="s">
        <v>22</v>
      </c>
      <c r="N68" s="4">
        <f t="shared" si="3"/>
        <v>75</v>
      </c>
      <c r="O68" s="2" t="s">
        <v>22</v>
      </c>
      <c r="P68" s="4">
        <f t="shared" si="4"/>
        <v>75</v>
      </c>
      <c r="Q68" s="2" t="s">
        <v>26</v>
      </c>
      <c r="R68" s="18">
        <f t="shared" si="5"/>
        <v>75</v>
      </c>
      <c r="S68" s="2" t="s">
        <v>27</v>
      </c>
      <c r="T68" s="4">
        <f t="shared" si="6"/>
        <v>100</v>
      </c>
      <c r="U68" s="2" t="s">
        <v>27</v>
      </c>
      <c r="V68" s="4">
        <f t="shared" si="7"/>
        <v>100</v>
      </c>
      <c r="W68" s="2" t="s">
        <v>26</v>
      </c>
      <c r="X68" s="4">
        <f t="shared" si="8"/>
        <v>75</v>
      </c>
      <c r="Y68" s="2" t="s">
        <v>30</v>
      </c>
      <c r="Z68" s="4">
        <f t="shared" si="9"/>
        <v>100</v>
      </c>
      <c r="AA68" s="2">
        <v>6</v>
      </c>
      <c r="AC68" s="2"/>
    </row>
    <row r="69" spans="1:29" x14ac:dyDescent="0.4">
      <c r="A69" s="2">
        <v>8789973</v>
      </c>
      <c r="B69" s="2" t="s">
        <v>9</v>
      </c>
      <c r="C69" s="2" t="s">
        <v>12</v>
      </c>
      <c r="D69" s="2" t="s">
        <v>15</v>
      </c>
      <c r="E69" s="2" t="s">
        <v>18</v>
      </c>
      <c r="F69" s="2" t="s">
        <v>38</v>
      </c>
      <c r="G69" s="2" t="s">
        <v>23</v>
      </c>
      <c r="H69" s="4">
        <f t="shared" si="0"/>
        <v>25</v>
      </c>
      <c r="I69" s="2" t="s">
        <v>22</v>
      </c>
      <c r="J69" s="4">
        <f t="shared" si="1"/>
        <v>75</v>
      </c>
      <c r="K69" s="2" t="s">
        <v>24</v>
      </c>
      <c r="L69" s="4">
        <f t="shared" si="2"/>
        <v>50</v>
      </c>
      <c r="M69" s="2" t="s">
        <v>23</v>
      </c>
      <c r="N69" s="4">
        <f t="shared" si="3"/>
        <v>25</v>
      </c>
      <c r="O69" s="2" t="s">
        <v>24</v>
      </c>
      <c r="P69" s="4">
        <f t="shared" si="4"/>
        <v>50</v>
      </c>
      <c r="Q69" s="2" t="s">
        <v>24</v>
      </c>
      <c r="R69" s="18">
        <f t="shared" si="5"/>
        <v>50</v>
      </c>
      <c r="S69" s="2" t="s">
        <v>24</v>
      </c>
      <c r="T69" s="4">
        <f t="shared" si="6"/>
        <v>50</v>
      </c>
      <c r="U69" s="2" t="s">
        <v>24</v>
      </c>
      <c r="V69" s="4">
        <f t="shared" si="7"/>
        <v>50</v>
      </c>
      <c r="W69" s="2" t="s">
        <v>24</v>
      </c>
      <c r="X69" s="4">
        <f t="shared" si="8"/>
        <v>50</v>
      </c>
      <c r="Y69" s="2" t="s">
        <v>24</v>
      </c>
      <c r="Z69" s="4">
        <f t="shared" si="9"/>
        <v>33.299999999999997</v>
      </c>
      <c r="AA69" s="2">
        <v>5</v>
      </c>
      <c r="AC69" s="2"/>
    </row>
    <row r="70" spans="1:29" x14ac:dyDescent="0.4">
      <c r="A70" s="2">
        <v>8797929</v>
      </c>
      <c r="B70" s="2" t="s">
        <v>8</v>
      </c>
      <c r="C70" s="2" t="s">
        <v>13</v>
      </c>
      <c r="D70" s="2" t="s">
        <v>15</v>
      </c>
      <c r="E70" s="2" t="s">
        <v>20</v>
      </c>
      <c r="F70" s="2" t="s">
        <v>38</v>
      </c>
      <c r="G70" s="2" t="s">
        <v>21</v>
      </c>
      <c r="H70" s="4">
        <f t="shared" si="0"/>
        <v>100</v>
      </c>
      <c r="I70" s="2" t="s">
        <v>21</v>
      </c>
      <c r="J70" s="4">
        <f t="shared" si="1"/>
        <v>100</v>
      </c>
      <c r="K70" s="2" t="s">
        <v>21</v>
      </c>
      <c r="L70" s="4">
        <f t="shared" si="2"/>
        <v>100</v>
      </c>
      <c r="M70" s="2" t="s">
        <v>21</v>
      </c>
      <c r="N70" s="4">
        <f t="shared" si="3"/>
        <v>100</v>
      </c>
      <c r="O70" s="2" t="s">
        <v>21</v>
      </c>
      <c r="P70" s="4">
        <f t="shared" si="4"/>
        <v>100</v>
      </c>
      <c r="Q70" s="2" t="s">
        <v>27</v>
      </c>
      <c r="R70" s="18">
        <f t="shared" si="5"/>
        <v>100</v>
      </c>
      <c r="S70" s="2" t="s">
        <v>27</v>
      </c>
      <c r="T70" s="4">
        <f t="shared" si="6"/>
        <v>100</v>
      </c>
      <c r="U70" s="2" t="s">
        <v>27</v>
      </c>
      <c r="V70" s="4">
        <f t="shared" si="7"/>
        <v>100</v>
      </c>
      <c r="W70" s="2" t="s">
        <v>27</v>
      </c>
      <c r="X70" s="4">
        <f t="shared" si="8"/>
        <v>100</v>
      </c>
      <c r="Y70" s="2" t="s">
        <v>30</v>
      </c>
      <c r="Z70" s="4">
        <f t="shared" si="9"/>
        <v>100</v>
      </c>
      <c r="AA70" s="2">
        <v>10</v>
      </c>
      <c r="AC70" s="2"/>
    </row>
    <row r="71" spans="1:29" x14ac:dyDescent="0.4">
      <c r="A71" s="2">
        <v>8800037</v>
      </c>
      <c r="B71" s="2" t="s">
        <v>8</v>
      </c>
      <c r="C71" s="2" t="s">
        <v>10</v>
      </c>
      <c r="D71" s="2" t="s">
        <v>15</v>
      </c>
      <c r="E71" s="2" t="s">
        <v>17</v>
      </c>
      <c r="F71" s="2" t="s">
        <v>39</v>
      </c>
      <c r="G71" s="2" t="s">
        <v>21</v>
      </c>
      <c r="H71" s="4">
        <f t="shared" si="0"/>
        <v>100</v>
      </c>
      <c r="I71" s="2" t="s">
        <v>21</v>
      </c>
      <c r="J71" s="4">
        <f t="shared" si="1"/>
        <v>100</v>
      </c>
      <c r="K71" s="2" t="s">
        <v>21</v>
      </c>
      <c r="L71" s="4">
        <f t="shared" si="2"/>
        <v>100</v>
      </c>
      <c r="M71" s="2"/>
      <c r="N71" s="4" t="str">
        <f t="shared" si="3"/>
        <v/>
      </c>
      <c r="O71" s="2" t="s">
        <v>21</v>
      </c>
      <c r="P71" s="4">
        <f t="shared" si="4"/>
        <v>100</v>
      </c>
      <c r="Q71" s="2" t="s">
        <v>27</v>
      </c>
      <c r="R71" s="18">
        <f t="shared" si="5"/>
        <v>100</v>
      </c>
      <c r="S71" s="2" t="s">
        <v>27</v>
      </c>
      <c r="T71" s="4">
        <f t="shared" si="6"/>
        <v>100</v>
      </c>
      <c r="U71" s="2"/>
      <c r="V71" s="4" t="str">
        <f t="shared" si="7"/>
        <v/>
      </c>
      <c r="W71" s="2" t="s">
        <v>27</v>
      </c>
      <c r="X71" s="4">
        <f t="shared" si="8"/>
        <v>100</v>
      </c>
      <c r="Y71" s="2" t="s">
        <v>30</v>
      </c>
      <c r="Z71" s="4">
        <f t="shared" si="9"/>
        <v>100</v>
      </c>
      <c r="AA71" s="2">
        <v>5</v>
      </c>
      <c r="AC71" s="2"/>
    </row>
    <row r="72" spans="1:29" x14ac:dyDescent="0.4">
      <c r="A72" s="2">
        <v>8802692</v>
      </c>
      <c r="B72" s="2" t="s">
        <v>8</v>
      </c>
      <c r="C72" s="2" t="s">
        <v>13</v>
      </c>
      <c r="D72" s="2" t="s">
        <v>15</v>
      </c>
      <c r="E72" s="2" t="s">
        <v>18</v>
      </c>
      <c r="F72" s="2" t="s">
        <v>38</v>
      </c>
      <c r="G72" s="2" t="s">
        <v>23</v>
      </c>
      <c r="H72" s="4">
        <f t="shared" si="0"/>
        <v>25</v>
      </c>
      <c r="I72" s="2" t="s">
        <v>23</v>
      </c>
      <c r="J72" s="4">
        <f t="shared" si="1"/>
        <v>25</v>
      </c>
      <c r="K72" s="2" t="s">
        <v>23</v>
      </c>
      <c r="L72" s="4">
        <f t="shared" si="2"/>
        <v>25</v>
      </c>
      <c r="M72" s="2" t="s">
        <v>23</v>
      </c>
      <c r="N72" s="4">
        <f t="shared" si="3"/>
        <v>25</v>
      </c>
      <c r="O72" s="2" t="s">
        <v>25</v>
      </c>
      <c r="P72" s="4">
        <f t="shared" si="4"/>
        <v>0</v>
      </c>
      <c r="Q72" s="2" t="s">
        <v>28</v>
      </c>
      <c r="R72" s="18">
        <f t="shared" si="5"/>
        <v>0</v>
      </c>
      <c r="S72" s="2" t="s">
        <v>28</v>
      </c>
      <c r="T72" s="4">
        <f t="shared" si="6"/>
        <v>0</v>
      </c>
      <c r="U72" s="2" t="s">
        <v>28</v>
      </c>
      <c r="V72" s="4">
        <f t="shared" si="7"/>
        <v>0</v>
      </c>
      <c r="W72" s="2" t="s">
        <v>28</v>
      </c>
      <c r="X72" s="4">
        <f t="shared" si="8"/>
        <v>0</v>
      </c>
      <c r="Y72" s="2" t="s">
        <v>33</v>
      </c>
      <c r="Z72" s="4">
        <f t="shared" si="9"/>
        <v>0</v>
      </c>
      <c r="AA72" s="2">
        <v>10</v>
      </c>
      <c r="AC72" s="2"/>
    </row>
    <row r="73" spans="1:29" x14ac:dyDescent="0.4">
      <c r="A73" s="2">
        <v>8804259</v>
      </c>
      <c r="B73" s="2" t="s">
        <v>9</v>
      </c>
      <c r="C73" s="2" t="s">
        <v>13</v>
      </c>
      <c r="D73" s="2" t="s">
        <v>15</v>
      </c>
      <c r="E73" s="2" t="s">
        <v>20</v>
      </c>
      <c r="F73" s="2" t="s">
        <v>38</v>
      </c>
      <c r="G73" s="2" t="s">
        <v>23</v>
      </c>
      <c r="H73" s="4">
        <f t="shared" si="0"/>
        <v>25</v>
      </c>
      <c r="I73" s="2" t="s">
        <v>23</v>
      </c>
      <c r="J73" s="4">
        <f t="shared" si="1"/>
        <v>25</v>
      </c>
      <c r="K73" s="2" t="s">
        <v>24</v>
      </c>
      <c r="L73" s="4">
        <f t="shared" si="2"/>
        <v>50</v>
      </c>
      <c r="M73" s="2" t="s">
        <v>21</v>
      </c>
      <c r="N73" s="4">
        <f t="shared" si="3"/>
        <v>100</v>
      </c>
      <c r="O73" s="2" t="s">
        <v>22</v>
      </c>
      <c r="P73" s="4">
        <f t="shared" si="4"/>
        <v>75</v>
      </c>
      <c r="Q73" s="2" t="s">
        <v>24</v>
      </c>
      <c r="R73" s="18">
        <f t="shared" si="5"/>
        <v>50</v>
      </c>
      <c r="S73" s="2" t="s">
        <v>27</v>
      </c>
      <c r="T73" s="4">
        <f t="shared" si="6"/>
        <v>100</v>
      </c>
      <c r="U73" s="2" t="s">
        <v>24</v>
      </c>
      <c r="V73" s="4">
        <f t="shared" si="7"/>
        <v>50</v>
      </c>
      <c r="W73" s="2" t="s">
        <v>27</v>
      </c>
      <c r="X73" s="4">
        <f t="shared" si="8"/>
        <v>100</v>
      </c>
      <c r="Y73" s="2" t="s">
        <v>32</v>
      </c>
      <c r="Z73" s="4">
        <f t="shared" si="9"/>
        <v>0</v>
      </c>
      <c r="AA73" s="2">
        <v>1</v>
      </c>
      <c r="AC73" s="2"/>
    </row>
    <row r="74" spans="1:29" x14ac:dyDescent="0.4">
      <c r="A74" s="2">
        <v>8812090</v>
      </c>
      <c r="B74" s="2" t="s">
        <v>8</v>
      </c>
      <c r="C74" s="2" t="s">
        <v>10</v>
      </c>
      <c r="D74" s="2" t="s">
        <v>15</v>
      </c>
      <c r="E74" s="2" t="s">
        <v>20</v>
      </c>
      <c r="F74" s="2" t="s">
        <v>39</v>
      </c>
      <c r="G74" s="2" t="s">
        <v>22</v>
      </c>
      <c r="H74" s="4">
        <f t="shared" si="0"/>
        <v>75</v>
      </c>
      <c r="I74" s="2" t="s">
        <v>21</v>
      </c>
      <c r="J74" s="4">
        <f t="shared" si="1"/>
        <v>100</v>
      </c>
      <c r="K74" s="2" t="s">
        <v>22</v>
      </c>
      <c r="L74" s="4">
        <f t="shared" si="2"/>
        <v>75</v>
      </c>
      <c r="M74" s="2"/>
      <c r="N74" s="4" t="str">
        <f t="shared" si="3"/>
        <v/>
      </c>
      <c r="O74" s="2" t="s">
        <v>22</v>
      </c>
      <c r="P74" s="4">
        <f t="shared" si="4"/>
        <v>75</v>
      </c>
      <c r="Q74" s="2" t="s">
        <v>27</v>
      </c>
      <c r="R74" s="18">
        <f t="shared" si="5"/>
        <v>100</v>
      </c>
      <c r="S74" s="2" t="s">
        <v>27</v>
      </c>
      <c r="T74" s="4">
        <f t="shared" si="6"/>
        <v>100</v>
      </c>
      <c r="U74" s="2"/>
      <c r="V74" s="4" t="str">
        <f t="shared" si="7"/>
        <v/>
      </c>
      <c r="W74" s="2" t="s">
        <v>27</v>
      </c>
      <c r="X74" s="4">
        <f t="shared" si="8"/>
        <v>100</v>
      </c>
      <c r="Y74" s="2" t="s">
        <v>31</v>
      </c>
      <c r="Z74" s="4">
        <f t="shared" si="9"/>
        <v>66.599999999999994</v>
      </c>
      <c r="AA74" s="2">
        <v>6</v>
      </c>
      <c r="AC74" s="2"/>
    </row>
    <row r="75" spans="1:29" x14ac:dyDescent="0.4">
      <c r="A75" s="2">
        <v>8893970</v>
      </c>
      <c r="B75" s="2" t="s">
        <v>8</v>
      </c>
      <c r="C75" s="2" t="s">
        <v>10</v>
      </c>
      <c r="D75" s="2" t="s">
        <v>16</v>
      </c>
      <c r="E75" s="2" t="s">
        <v>20</v>
      </c>
      <c r="F75" s="2" t="s">
        <v>39</v>
      </c>
      <c r="G75" s="2" t="s">
        <v>23</v>
      </c>
      <c r="H75" s="4">
        <f t="shared" si="0"/>
        <v>25</v>
      </c>
      <c r="I75" s="2" t="s">
        <v>24</v>
      </c>
      <c r="J75" s="4">
        <f t="shared" si="1"/>
        <v>50</v>
      </c>
      <c r="K75" s="2" t="s">
        <v>23</v>
      </c>
      <c r="L75" s="4">
        <f t="shared" si="2"/>
        <v>25</v>
      </c>
      <c r="M75" s="2"/>
      <c r="N75" s="4" t="str">
        <f t="shared" si="3"/>
        <v/>
      </c>
      <c r="O75" s="2" t="s">
        <v>23</v>
      </c>
      <c r="P75" s="4">
        <f t="shared" si="4"/>
        <v>25</v>
      </c>
      <c r="Q75" s="2" t="s">
        <v>26</v>
      </c>
      <c r="R75" s="18">
        <f t="shared" si="5"/>
        <v>75</v>
      </c>
      <c r="S75" s="2" t="s">
        <v>27</v>
      </c>
      <c r="T75" s="4">
        <f t="shared" si="6"/>
        <v>100</v>
      </c>
      <c r="U75" s="2"/>
      <c r="V75" s="4" t="str">
        <f t="shared" si="7"/>
        <v/>
      </c>
      <c r="W75" s="2" t="s">
        <v>27</v>
      </c>
      <c r="X75" s="4">
        <f t="shared" si="8"/>
        <v>100</v>
      </c>
      <c r="Y75" s="2" t="s">
        <v>32</v>
      </c>
      <c r="Z75" s="4">
        <f t="shared" si="9"/>
        <v>0</v>
      </c>
      <c r="AA75" s="2">
        <v>1</v>
      </c>
      <c r="AC75" s="2"/>
    </row>
    <row r="76" spans="1:29" x14ac:dyDescent="0.4">
      <c r="A76" s="2">
        <v>8897804</v>
      </c>
      <c r="B76" s="2" t="s">
        <v>9</v>
      </c>
      <c r="C76" s="2" t="s">
        <v>13</v>
      </c>
      <c r="D76" s="2" t="s">
        <v>15</v>
      </c>
      <c r="E76" s="2" t="s">
        <v>19</v>
      </c>
      <c r="F76" s="2" t="s">
        <v>37</v>
      </c>
      <c r="G76" s="2" t="s">
        <v>23</v>
      </c>
      <c r="H76" s="4">
        <f t="shared" ref="H76:H139" si="10">IF(G76="", "", IF(G76="非常に満足", 100, IF(G76="やや満足", 75, IF(G76="どちらともいえない", 50, IF(G76="やや不満", 25, IF(G76="非常に不満", 0, ""))))))</f>
        <v>25</v>
      </c>
      <c r="I76" s="2" t="s">
        <v>22</v>
      </c>
      <c r="J76" s="4">
        <f t="shared" ref="J76:J139" si="11">IF(I76="", "", IF(I76="非常に満足", 100, IF(I76="やや満足", 75, IF(I76="どちらともいえない", 50, IF(I76="やや不満", 25, IF(I76="非常に不満", 0, ""))))))</f>
        <v>75</v>
      </c>
      <c r="K76" s="2" t="s">
        <v>21</v>
      </c>
      <c r="L76" s="4">
        <f t="shared" ref="L76:L139" si="12">IF(K76="", "", IF(K76="非常に満足", 100, IF(K76="やや満足", 75, IF(K76="どちらともいえない", 50, IF(K76="やや不満", 25, IF(K76="非常に不満", 0, ""))))))</f>
        <v>100</v>
      </c>
      <c r="M76" s="2" t="s">
        <v>22</v>
      </c>
      <c r="N76" s="4">
        <f t="shared" ref="N76:N139" si="13">IF(M76="", "", IF(M76="非常に満足", 100, IF(M76="やや満足", 75, IF(M76="どちらともいえない", 50, IF(M76="やや不満", 25, IF(M76="非常に不満", 0, ""))))))</f>
        <v>75</v>
      </c>
      <c r="O76" s="2" t="s">
        <v>21</v>
      </c>
      <c r="P76" s="4">
        <f t="shared" ref="P76:P139" si="14">IF(O76="", "", IF(O76="非常に満足", 100, IF(O76="やや満足", 75, IF(O76="どちらともいえない", 50, IF(O76="やや不満", 25, IF(O76="非常に不満", 0, ""))))))</f>
        <v>100</v>
      </c>
      <c r="Q76" s="2" t="s">
        <v>26</v>
      </c>
      <c r="R76" s="18">
        <f t="shared" ref="R76:R139" si="15">IF(Q76="", "", IF(Q76="非常に重要である", 100, IF(Q76="やや重要である", 75, IF(Q76="どちらともいえない", 50, IF(Q76="あまり重要でない", 25, IF(Q76="全く重要でない", 0, ""))))))</f>
        <v>75</v>
      </c>
      <c r="S76" s="2" t="s">
        <v>26</v>
      </c>
      <c r="T76" s="4">
        <f t="shared" ref="T76:T139" si="16">IF(S76="", "", IF(S76="非常に重要である", 100, IF(S76="やや重要である", 75, IF(S76="どちらともいえない", 50, IF(S76="あまり重要でない", 25, IF(S76="全く重要でない", 0, ""))))))</f>
        <v>75</v>
      </c>
      <c r="U76" s="2" t="s">
        <v>26</v>
      </c>
      <c r="V76" s="4">
        <f t="shared" ref="V76:V139" si="17">IF(U76="", "", IF(U76="非常に重要である", 100, IF(U76="やや重要である", 75, IF(U76="どちらともいえない", 50, IF(U76="あまり重要でない", 25, IF(U76="全く重要でない", 0, ""))))))</f>
        <v>75</v>
      </c>
      <c r="W76" s="2" t="s">
        <v>27</v>
      </c>
      <c r="X76" s="4">
        <f t="shared" ref="X76:X139" si="18">IF(W76="", "", IF(W76="非常に重要である", 100, IF(W76="やや重要である", 75, IF(W76="どちらともいえない", 50, IF(W76="あまり重要でない", 25, IF(W76="全く重要でない", 0, ""))))))</f>
        <v>100</v>
      </c>
      <c r="Y76" s="2" t="s">
        <v>32</v>
      </c>
      <c r="Z76" s="4">
        <f t="shared" ref="Z76:Z139" si="19">IF(Y76="", "", IF(Y76="ぜひ利用したい", 100, IF(Y76="まあ利用したい", 66.6, IF(Y76="どちらともいえない", 33.3, IF(Y76="あまり利用したくない", 0, IF(Y76="全く利用したくない", 0, ""))))))</f>
        <v>0</v>
      </c>
      <c r="AA76" s="2">
        <v>10</v>
      </c>
      <c r="AC76" s="2"/>
    </row>
    <row r="77" spans="1:29" x14ac:dyDescent="0.4">
      <c r="A77" s="2">
        <v>8905311</v>
      </c>
      <c r="B77" s="2" t="s">
        <v>9</v>
      </c>
      <c r="C77" s="2" t="s">
        <v>13</v>
      </c>
      <c r="D77" s="2" t="s">
        <v>16</v>
      </c>
      <c r="E77" s="2" t="s">
        <v>17</v>
      </c>
      <c r="F77" s="2" t="s">
        <v>38</v>
      </c>
      <c r="G77" s="2" t="s">
        <v>22</v>
      </c>
      <c r="H77" s="4">
        <f t="shared" si="10"/>
        <v>75</v>
      </c>
      <c r="I77" s="2" t="s">
        <v>22</v>
      </c>
      <c r="J77" s="4">
        <f t="shared" si="11"/>
        <v>75</v>
      </c>
      <c r="K77" s="2" t="s">
        <v>22</v>
      </c>
      <c r="L77" s="4">
        <f t="shared" si="12"/>
        <v>75</v>
      </c>
      <c r="M77" s="2" t="s">
        <v>22</v>
      </c>
      <c r="N77" s="4">
        <f t="shared" si="13"/>
        <v>75</v>
      </c>
      <c r="O77" s="2" t="s">
        <v>22</v>
      </c>
      <c r="P77" s="4">
        <f t="shared" si="14"/>
        <v>75</v>
      </c>
      <c r="Q77" s="2" t="s">
        <v>26</v>
      </c>
      <c r="R77" s="18">
        <f t="shared" si="15"/>
        <v>75</v>
      </c>
      <c r="S77" s="2" t="s">
        <v>26</v>
      </c>
      <c r="T77" s="4">
        <f t="shared" si="16"/>
        <v>75</v>
      </c>
      <c r="U77" s="2" t="s">
        <v>26</v>
      </c>
      <c r="V77" s="4">
        <f t="shared" si="17"/>
        <v>75</v>
      </c>
      <c r="W77" s="2" t="s">
        <v>26</v>
      </c>
      <c r="X77" s="4">
        <f t="shared" si="18"/>
        <v>75</v>
      </c>
      <c r="Y77" s="2" t="s">
        <v>31</v>
      </c>
      <c r="Z77" s="4">
        <f t="shared" si="19"/>
        <v>66.599999999999994</v>
      </c>
      <c r="AA77" s="2">
        <v>6</v>
      </c>
      <c r="AC77" s="2"/>
    </row>
    <row r="78" spans="1:29" x14ac:dyDescent="0.4">
      <c r="A78" s="2">
        <v>8912563</v>
      </c>
      <c r="B78" s="2" t="s">
        <v>9</v>
      </c>
      <c r="C78" s="2" t="s">
        <v>12</v>
      </c>
      <c r="D78" s="2" t="s">
        <v>16</v>
      </c>
      <c r="E78" s="2" t="s">
        <v>17</v>
      </c>
      <c r="F78" s="2" t="s">
        <v>38</v>
      </c>
      <c r="G78" s="2" t="s">
        <v>21</v>
      </c>
      <c r="H78" s="4">
        <f t="shared" si="10"/>
        <v>100</v>
      </c>
      <c r="I78" s="2" t="s">
        <v>21</v>
      </c>
      <c r="J78" s="4">
        <f t="shared" si="11"/>
        <v>100</v>
      </c>
      <c r="K78" s="2" t="s">
        <v>21</v>
      </c>
      <c r="L78" s="4">
        <f t="shared" si="12"/>
        <v>100</v>
      </c>
      <c r="M78" s="2" t="s">
        <v>24</v>
      </c>
      <c r="N78" s="4">
        <f t="shared" si="13"/>
        <v>50</v>
      </c>
      <c r="O78" s="2" t="s">
        <v>22</v>
      </c>
      <c r="P78" s="4">
        <f t="shared" si="14"/>
        <v>75</v>
      </c>
      <c r="Q78" s="2" t="s">
        <v>27</v>
      </c>
      <c r="R78" s="18">
        <f t="shared" si="15"/>
        <v>100</v>
      </c>
      <c r="S78" s="2" t="s">
        <v>27</v>
      </c>
      <c r="T78" s="4">
        <f t="shared" si="16"/>
        <v>100</v>
      </c>
      <c r="U78" s="2" t="s">
        <v>27</v>
      </c>
      <c r="V78" s="4">
        <f t="shared" si="17"/>
        <v>100</v>
      </c>
      <c r="W78" s="2" t="s">
        <v>27</v>
      </c>
      <c r="X78" s="4">
        <f t="shared" si="18"/>
        <v>100</v>
      </c>
      <c r="Y78" s="2" t="s">
        <v>30</v>
      </c>
      <c r="Z78" s="4">
        <f t="shared" si="19"/>
        <v>100</v>
      </c>
      <c r="AA78" s="2">
        <v>6</v>
      </c>
      <c r="AC78" s="2"/>
    </row>
    <row r="79" spans="1:29" x14ac:dyDescent="0.4">
      <c r="A79" s="2">
        <v>8918285</v>
      </c>
      <c r="B79" s="2" t="s">
        <v>8</v>
      </c>
      <c r="C79" s="2" t="s">
        <v>13</v>
      </c>
      <c r="D79" s="2" t="s">
        <v>16</v>
      </c>
      <c r="E79" s="2" t="s">
        <v>17</v>
      </c>
      <c r="F79" s="2" t="s">
        <v>38</v>
      </c>
      <c r="G79" s="2" t="s">
        <v>22</v>
      </c>
      <c r="H79" s="4">
        <f t="shared" si="10"/>
        <v>75</v>
      </c>
      <c r="I79" s="2" t="s">
        <v>24</v>
      </c>
      <c r="J79" s="4">
        <f t="shared" si="11"/>
        <v>50</v>
      </c>
      <c r="K79" s="2" t="s">
        <v>24</v>
      </c>
      <c r="L79" s="4">
        <f t="shared" si="12"/>
        <v>50</v>
      </c>
      <c r="M79" s="2" t="s">
        <v>24</v>
      </c>
      <c r="N79" s="4">
        <f t="shared" si="13"/>
        <v>50</v>
      </c>
      <c r="O79" s="2" t="s">
        <v>22</v>
      </c>
      <c r="P79" s="4">
        <f t="shared" si="14"/>
        <v>75</v>
      </c>
      <c r="Q79" s="2" t="s">
        <v>24</v>
      </c>
      <c r="R79" s="18">
        <f t="shared" si="15"/>
        <v>50</v>
      </c>
      <c r="S79" s="2" t="s">
        <v>24</v>
      </c>
      <c r="T79" s="4">
        <f t="shared" si="16"/>
        <v>50</v>
      </c>
      <c r="U79" s="2" t="s">
        <v>24</v>
      </c>
      <c r="V79" s="4">
        <f t="shared" si="17"/>
        <v>50</v>
      </c>
      <c r="W79" s="2" t="s">
        <v>26</v>
      </c>
      <c r="X79" s="4">
        <f t="shared" si="18"/>
        <v>75</v>
      </c>
      <c r="Y79" s="2" t="s">
        <v>31</v>
      </c>
      <c r="Z79" s="4">
        <f t="shared" si="19"/>
        <v>66.599999999999994</v>
      </c>
      <c r="AA79" s="2">
        <v>6</v>
      </c>
      <c r="AC79" s="2"/>
    </row>
    <row r="80" spans="1:29" x14ac:dyDescent="0.4">
      <c r="A80" s="2">
        <v>8921541</v>
      </c>
      <c r="B80" s="2" t="s">
        <v>9</v>
      </c>
      <c r="C80" s="2" t="s">
        <v>13</v>
      </c>
      <c r="D80" s="2" t="s">
        <v>15</v>
      </c>
      <c r="E80" s="2" t="s">
        <v>18</v>
      </c>
      <c r="F80" s="2" t="s">
        <v>38</v>
      </c>
      <c r="G80" s="2" t="s">
        <v>21</v>
      </c>
      <c r="H80" s="4">
        <f t="shared" si="10"/>
        <v>100</v>
      </c>
      <c r="I80" s="2" t="s">
        <v>21</v>
      </c>
      <c r="J80" s="4">
        <f t="shared" si="11"/>
        <v>100</v>
      </c>
      <c r="K80" s="2" t="s">
        <v>21</v>
      </c>
      <c r="L80" s="4">
        <f t="shared" si="12"/>
        <v>100</v>
      </c>
      <c r="M80" s="2" t="s">
        <v>21</v>
      </c>
      <c r="N80" s="4">
        <f t="shared" si="13"/>
        <v>100</v>
      </c>
      <c r="O80" s="2" t="s">
        <v>21</v>
      </c>
      <c r="P80" s="4">
        <f t="shared" si="14"/>
        <v>100</v>
      </c>
      <c r="Q80" s="2" t="s">
        <v>27</v>
      </c>
      <c r="R80" s="18">
        <f t="shared" si="15"/>
        <v>100</v>
      </c>
      <c r="S80" s="2" t="s">
        <v>27</v>
      </c>
      <c r="T80" s="4">
        <f t="shared" si="16"/>
        <v>100</v>
      </c>
      <c r="U80" s="2" t="s">
        <v>27</v>
      </c>
      <c r="V80" s="4">
        <f t="shared" si="17"/>
        <v>100</v>
      </c>
      <c r="W80" s="2" t="s">
        <v>27</v>
      </c>
      <c r="X80" s="4">
        <f t="shared" si="18"/>
        <v>100</v>
      </c>
      <c r="Y80" s="2" t="s">
        <v>30</v>
      </c>
      <c r="Z80" s="4">
        <f t="shared" si="19"/>
        <v>100</v>
      </c>
      <c r="AA80" s="2">
        <v>8</v>
      </c>
      <c r="AC80" s="2"/>
    </row>
    <row r="81" spans="1:29" x14ac:dyDescent="0.4">
      <c r="A81" s="2">
        <v>8921664</v>
      </c>
      <c r="B81" s="2" t="s">
        <v>9</v>
      </c>
      <c r="C81" s="2" t="s">
        <v>13</v>
      </c>
      <c r="D81" s="2" t="s">
        <v>16</v>
      </c>
      <c r="E81" s="2" t="s">
        <v>19</v>
      </c>
      <c r="F81" s="2" t="s">
        <v>39</v>
      </c>
      <c r="G81" s="2" t="s">
        <v>21</v>
      </c>
      <c r="H81" s="4">
        <f t="shared" si="10"/>
        <v>100</v>
      </c>
      <c r="I81" s="2" t="s">
        <v>21</v>
      </c>
      <c r="J81" s="4">
        <f t="shared" si="11"/>
        <v>100</v>
      </c>
      <c r="K81" s="2" t="s">
        <v>21</v>
      </c>
      <c r="L81" s="4">
        <f t="shared" si="12"/>
        <v>100</v>
      </c>
      <c r="M81" s="2"/>
      <c r="N81" s="4" t="str">
        <f t="shared" si="13"/>
        <v/>
      </c>
      <c r="O81" s="2" t="s">
        <v>21</v>
      </c>
      <c r="P81" s="4">
        <f t="shared" si="14"/>
        <v>100</v>
      </c>
      <c r="Q81" s="2" t="s">
        <v>27</v>
      </c>
      <c r="R81" s="18">
        <f t="shared" si="15"/>
        <v>100</v>
      </c>
      <c r="S81" s="2" t="s">
        <v>26</v>
      </c>
      <c r="T81" s="4">
        <f t="shared" si="16"/>
        <v>75</v>
      </c>
      <c r="U81" s="2"/>
      <c r="V81" s="4" t="str">
        <f t="shared" si="17"/>
        <v/>
      </c>
      <c r="W81" s="2" t="s">
        <v>26</v>
      </c>
      <c r="X81" s="4">
        <f t="shared" si="18"/>
        <v>75</v>
      </c>
      <c r="Y81" s="2" t="s">
        <v>30</v>
      </c>
      <c r="Z81" s="4">
        <f t="shared" si="19"/>
        <v>100</v>
      </c>
      <c r="AA81" s="2">
        <v>5</v>
      </c>
      <c r="AC81" s="2"/>
    </row>
    <row r="82" spans="1:29" x14ac:dyDescent="0.4">
      <c r="A82" s="2">
        <v>8931315</v>
      </c>
      <c r="B82" s="2" t="s">
        <v>9</v>
      </c>
      <c r="C82" s="2" t="s">
        <v>13</v>
      </c>
      <c r="D82" s="2" t="s">
        <v>15</v>
      </c>
      <c r="E82" s="2" t="s">
        <v>18</v>
      </c>
      <c r="F82" s="2" t="s">
        <v>38</v>
      </c>
      <c r="G82" s="2" t="s">
        <v>21</v>
      </c>
      <c r="H82" s="4">
        <f t="shared" si="10"/>
        <v>100</v>
      </c>
      <c r="I82" s="2" t="s">
        <v>21</v>
      </c>
      <c r="J82" s="4">
        <f t="shared" si="11"/>
        <v>100</v>
      </c>
      <c r="K82" s="2" t="s">
        <v>21</v>
      </c>
      <c r="L82" s="4">
        <f t="shared" si="12"/>
        <v>100</v>
      </c>
      <c r="M82" s="2" t="s">
        <v>21</v>
      </c>
      <c r="N82" s="4">
        <f t="shared" si="13"/>
        <v>100</v>
      </c>
      <c r="O82" s="2" t="s">
        <v>21</v>
      </c>
      <c r="P82" s="4">
        <f t="shared" si="14"/>
        <v>100</v>
      </c>
      <c r="Q82" s="2" t="s">
        <v>27</v>
      </c>
      <c r="R82" s="18">
        <f t="shared" si="15"/>
        <v>100</v>
      </c>
      <c r="S82" s="2" t="s">
        <v>27</v>
      </c>
      <c r="T82" s="4">
        <f t="shared" si="16"/>
        <v>100</v>
      </c>
      <c r="U82" s="2" t="s">
        <v>27</v>
      </c>
      <c r="V82" s="4">
        <f t="shared" si="17"/>
        <v>100</v>
      </c>
      <c r="W82" s="2" t="s">
        <v>27</v>
      </c>
      <c r="X82" s="4">
        <f t="shared" si="18"/>
        <v>100</v>
      </c>
      <c r="Y82" s="2" t="s">
        <v>30</v>
      </c>
      <c r="Z82" s="4">
        <f t="shared" si="19"/>
        <v>100</v>
      </c>
      <c r="AA82" s="2">
        <v>5</v>
      </c>
      <c r="AC82" s="2"/>
    </row>
    <row r="83" spans="1:29" x14ac:dyDescent="0.4">
      <c r="A83" s="2">
        <v>8960911</v>
      </c>
      <c r="B83" s="2" t="s">
        <v>8</v>
      </c>
      <c r="C83" s="2" t="s">
        <v>13</v>
      </c>
      <c r="D83" s="2" t="s">
        <v>15</v>
      </c>
      <c r="E83" s="2" t="s">
        <v>20</v>
      </c>
      <c r="F83" s="2" t="s">
        <v>37</v>
      </c>
      <c r="G83" s="2" t="s">
        <v>22</v>
      </c>
      <c r="H83" s="4">
        <f t="shared" si="10"/>
        <v>75</v>
      </c>
      <c r="I83" s="2" t="s">
        <v>22</v>
      </c>
      <c r="J83" s="4">
        <f t="shared" si="11"/>
        <v>75</v>
      </c>
      <c r="K83" s="2" t="s">
        <v>22</v>
      </c>
      <c r="L83" s="4">
        <f t="shared" si="12"/>
        <v>75</v>
      </c>
      <c r="M83" s="2" t="s">
        <v>22</v>
      </c>
      <c r="N83" s="4">
        <f t="shared" si="13"/>
        <v>75</v>
      </c>
      <c r="O83" s="2" t="s">
        <v>22</v>
      </c>
      <c r="P83" s="4">
        <f t="shared" si="14"/>
        <v>75</v>
      </c>
      <c r="Q83" s="2" t="s">
        <v>26</v>
      </c>
      <c r="R83" s="18">
        <f t="shared" si="15"/>
        <v>75</v>
      </c>
      <c r="S83" s="2" t="s">
        <v>26</v>
      </c>
      <c r="T83" s="4">
        <f t="shared" si="16"/>
        <v>75</v>
      </c>
      <c r="U83" s="2" t="s">
        <v>26</v>
      </c>
      <c r="V83" s="4">
        <f t="shared" si="17"/>
        <v>75</v>
      </c>
      <c r="W83" s="2" t="s">
        <v>26</v>
      </c>
      <c r="X83" s="4">
        <f t="shared" si="18"/>
        <v>75</v>
      </c>
      <c r="Y83" s="2" t="s">
        <v>30</v>
      </c>
      <c r="Z83" s="4">
        <f t="shared" si="19"/>
        <v>100</v>
      </c>
      <c r="AA83" s="2">
        <v>8</v>
      </c>
      <c r="AC83" s="2"/>
    </row>
    <row r="84" spans="1:29" x14ac:dyDescent="0.4">
      <c r="A84" s="2">
        <v>8961211</v>
      </c>
      <c r="B84" s="2" t="s">
        <v>8</v>
      </c>
      <c r="C84" s="2" t="s">
        <v>13</v>
      </c>
      <c r="D84" s="2" t="s">
        <v>15</v>
      </c>
      <c r="E84" s="2" t="s">
        <v>20</v>
      </c>
      <c r="F84" s="2" t="s">
        <v>38</v>
      </c>
      <c r="G84" s="2" t="s">
        <v>21</v>
      </c>
      <c r="H84" s="4">
        <f t="shared" si="10"/>
        <v>100</v>
      </c>
      <c r="I84" s="2" t="s">
        <v>22</v>
      </c>
      <c r="J84" s="4">
        <f t="shared" si="11"/>
        <v>75</v>
      </c>
      <c r="K84" s="2" t="s">
        <v>23</v>
      </c>
      <c r="L84" s="4">
        <f t="shared" si="12"/>
        <v>25</v>
      </c>
      <c r="M84" s="2" t="s">
        <v>23</v>
      </c>
      <c r="N84" s="4">
        <f t="shared" si="13"/>
        <v>25</v>
      </c>
      <c r="O84" s="2" t="s">
        <v>21</v>
      </c>
      <c r="P84" s="4">
        <f t="shared" si="14"/>
        <v>100</v>
      </c>
      <c r="Q84" s="2" t="s">
        <v>27</v>
      </c>
      <c r="R84" s="18">
        <f t="shared" si="15"/>
        <v>100</v>
      </c>
      <c r="S84" s="2" t="s">
        <v>27</v>
      </c>
      <c r="T84" s="4">
        <f t="shared" si="16"/>
        <v>100</v>
      </c>
      <c r="U84" s="2" t="s">
        <v>27</v>
      </c>
      <c r="V84" s="4">
        <f t="shared" si="17"/>
        <v>100</v>
      </c>
      <c r="W84" s="2" t="s">
        <v>27</v>
      </c>
      <c r="X84" s="4">
        <f t="shared" si="18"/>
        <v>100</v>
      </c>
      <c r="Y84" s="2" t="s">
        <v>30</v>
      </c>
      <c r="Z84" s="4">
        <f t="shared" si="19"/>
        <v>100</v>
      </c>
      <c r="AA84" s="2">
        <v>8</v>
      </c>
      <c r="AC84" s="2"/>
    </row>
    <row r="85" spans="1:29" x14ac:dyDescent="0.4">
      <c r="A85" s="2">
        <v>8969810</v>
      </c>
      <c r="B85" s="2" t="s">
        <v>8</v>
      </c>
      <c r="C85" s="2" t="s">
        <v>11</v>
      </c>
      <c r="D85" s="2" t="s">
        <v>15</v>
      </c>
      <c r="E85" s="2" t="s">
        <v>19</v>
      </c>
      <c r="F85" s="2" t="s">
        <v>38</v>
      </c>
      <c r="G85" s="2" t="s">
        <v>21</v>
      </c>
      <c r="H85" s="4">
        <f t="shared" si="10"/>
        <v>100</v>
      </c>
      <c r="I85" s="2" t="s">
        <v>21</v>
      </c>
      <c r="J85" s="4">
        <f t="shared" si="11"/>
        <v>100</v>
      </c>
      <c r="K85" s="2" t="s">
        <v>21</v>
      </c>
      <c r="L85" s="4">
        <f t="shared" si="12"/>
        <v>100</v>
      </c>
      <c r="M85" s="2" t="s">
        <v>21</v>
      </c>
      <c r="N85" s="4">
        <f t="shared" si="13"/>
        <v>100</v>
      </c>
      <c r="O85" s="2" t="s">
        <v>21</v>
      </c>
      <c r="P85" s="4">
        <f t="shared" si="14"/>
        <v>100</v>
      </c>
      <c r="Q85" s="2" t="s">
        <v>27</v>
      </c>
      <c r="R85" s="18">
        <f t="shared" si="15"/>
        <v>100</v>
      </c>
      <c r="S85" s="2" t="s">
        <v>27</v>
      </c>
      <c r="T85" s="4">
        <f t="shared" si="16"/>
        <v>100</v>
      </c>
      <c r="U85" s="2" t="s">
        <v>27</v>
      </c>
      <c r="V85" s="4">
        <f t="shared" si="17"/>
        <v>100</v>
      </c>
      <c r="W85" s="2" t="s">
        <v>27</v>
      </c>
      <c r="X85" s="4">
        <f t="shared" si="18"/>
        <v>100</v>
      </c>
      <c r="Y85" s="2" t="s">
        <v>30</v>
      </c>
      <c r="Z85" s="4">
        <f t="shared" si="19"/>
        <v>100</v>
      </c>
      <c r="AA85" s="2">
        <v>10</v>
      </c>
      <c r="AC85" s="2"/>
    </row>
    <row r="86" spans="1:29" x14ac:dyDescent="0.4">
      <c r="A86" s="2">
        <v>8970730</v>
      </c>
      <c r="B86" s="2" t="s">
        <v>8</v>
      </c>
      <c r="C86" s="2" t="s">
        <v>13</v>
      </c>
      <c r="D86" s="2" t="s">
        <v>16</v>
      </c>
      <c r="E86" s="2" t="s">
        <v>18</v>
      </c>
      <c r="F86" s="2" t="s">
        <v>37</v>
      </c>
      <c r="G86" s="2" t="s">
        <v>24</v>
      </c>
      <c r="H86" s="4">
        <f t="shared" si="10"/>
        <v>50</v>
      </c>
      <c r="I86" s="2" t="s">
        <v>24</v>
      </c>
      <c r="J86" s="4">
        <f t="shared" si="11"/>
        <v>50</v>
      </c>
      <c r="K86" s="2" t="s">
        <v>24</v>
      </c>
      <c r="L86" s="4">
        <f t="shared" si="12"/>
        <v>50</v>
      </c>
      <c r="M86" s="2" t="s">
        <v>24</v>
      </c>
      <c r="N86" s="4">
        <f t="shared" si="13"/>
        <v>50</v>
      </c>
      <c r="O86" s="2" t="s">
        <v>24</v>
      </c>
      <c r="P86" s="4">
        <f t="shared" si="14"/>
        <v>50</v>
      </c>
      <c r="Q86" s="2" t="s">
        <v>24</v>
      </c>
      <c r="R86" s="18">
        <f t="shared" si="15"/>
        <v>50</v>
      </c>
      <c r="S86" s="2" t="s">
        <v>24</v>
      </c>
      <c r="T86" s="4">
        <f t="shared" si="16"/>
        <v>50</v>
      </c>
      <c r="U86" s="2" t="s">
        <v>24</v>
      </c>
      <c r="V86" s="4">
        <f t="shared" si="17"/>
        <v>50</v>
      </c>
      <c r="W86" s="2" t="s">
        <v>24</v>
      </c>
      <c r="X86" s="4">
        <f t="shared" si="18"/>
        <v>50</v>
      </c>
      <c r="Y86" s="2" t="s">
        <v>32</v>
      </c>
      <c r="Z86" s="4">
        <f t="shared" si="19"/>
        <v>0</v>
      </c>
      <c r="AA86" s="2">
        <v>8</v>
      </c>
      <c r="AC86" s="2"/>
    </row>
    <row r="87" spans="1:29" x14ac:dyDescent="0.4">
      <c r="A87" s="2">
        <v>8996551</v>
      </c>
      <c r="B87" s="2" t="s">
        <v>9</v>
      </c>
      <c r="C87" s="2" t="s">
        <v>12</v>
      </c>
      <c r="D87" s="2" t="s">
        <v>16</v>
      </c>
      <c r="E87" s="2" t="s">
        <v>17</v>
      </c>
      <c r="F87" s="2" t="s">
        <v>39</v>
      </c>
      <c r="G87" s="2" t="s">
        <v>21</v>
      </c>
      <c r="H87" s="4">
        <f t="shared" si="10"/>
        <v>100</v>
      </c>
      <c r="I87" s="2" t="s">
        <v>21</v>
      </c>
      <c r="J87" s="4">
        <f t="shared" si="11"/>
        <v>100</v>
      </c>
      <c r="K87" s="2" t="s">
        <v>21</v>
      </c>
      <c r="L87" s="4">
        <f t="shared" si="12"/>
        <v>100</v>
      </c>
      <c r="M87" s="2"/>
      <c r="N87" s="4" t="str">
        <f t="shared" si="13"/>
        <v/>
      </c>
      <c r="O87" s="2" t="s">
        <v>21</v>
      </c>
      <c r="P87" s="4">
        <f t="shared" si="14"/>
        <v>100</v>
      </c>
      <c r="Q87" s="2" t="s">
        <v>27</v>
      </c>
      <c r="R87" s="18">
        <f t="shared" si="15"/>
        <v>100</v>
      </c>
      <c r="S87" s="2" t="s">
        <v>27</v>
      </c>
      <c r="T87" s="4">
        <f t="shared" si="16"/>
        <v>100</v>
      </c>
      <c r="U87" s="2"/>
      <c r="V87" s="4" t="str">
        <f t="shared" si="17"/>
        <v/>
      </c>
      <c r="W87" s="2" t="s">
        <v>27</v>
      </c>
      <c r="X87" s="4">
        <f t="shared" si="18"/>
        <v>100</v>
      </c>
      <c r="Y87" s="3" t="s">
        <v>70</v>
      </c>
      <c r="Z87" s="4">
        <f t="shared" si="19"/>
        <v>100</v>
      </c>
      <c r="AA87" s="2">
        <v>10</v>
      </c>
      <c r="AC87" s="2"/>
    </row>
    <row r="88" spans="1:29" x14ac:dyDescent="0.4">
      <c r="A88" s="2">
        <v>9011657</v>
      </c>
      <c r="B88" s="2" t="s">
        <v>8</v>
      </c>
      <c r="C88" s="2" t="s">
        <v>13</v>
      </c>
      <c r="D88" s="2" t="s">
        <v>16</v>
      </c>
      <c r="E88" s="2" t="s">
        <v>17</v>
      </c>
      <c r="F88" s="2" t="s">
        <v>37</v>
      </c>
      <c r="G88" s="2" t="s">
        <v>24</v>
      </c>
      <c r="H88" s="4">
        <f t="shared" si="10"/>
        <v>50</v>
      </c>
      <c r="I88" s="2" t="s">
        <v>24</v>
      </c>
      <c r="J88" s="4">
        <f t="shared" si="11"/>
        <v>50</v>
      </c>
      <c r="K88" s="2" t="s">
        <v>24</v>
      </c>
      <c r="L88" s="4">
        <f t="shared" si="12"/>
        <v>50</v>
      </c>
      <c r="M88" s="2" t="s">
        <v>24</v>
      </c>
      <c r="N88" s="4">
        <f t="shared" si="13"/>
        <v>50</v>
      </c>
      <c r="O88" s="2" t="s">
        <v>24</v>
      </c>
      <c r="P88" s="4">
        <f t="shared" si="14"/>
        <v>50</v>
      </c>
      <c r="Q88" s="2" t="s">
        <v>24</v>
      </c>
      <c r="R88" s="18">
        <f t="shared" si="15"/>
        <v>50</v>
      </c>
      <c r="S88" s="2" t="s">
        <v>24</v>
      </c>
      <c r="T88" s="4">
        <f t="shared" si="16"/>
        <v>50</v>
      </c>
      <c r="U88" s="2" t="s">
        <v>24</v>
      </c>
      <c r="V88" s="4">
        <f t="shared" si="17"/>
        <v>50</v>
      </c>
      <c r="W88" s="2" t="s">
        <v>24</v>
      </c>
      <c r="X88" s="4">
        <f t="shared" si="18"/>
        <v>50</v>
      </c>
      <c r="Y88" s="2" t="s">
        <v>24</v>
      </c>
      <c r="Z88" s="4">
        <f t="shared" si="19"/>
        <v>33.299999999999997</v>
      </c>
      <c r="AA88" s="2">
        <v>5</v>
      </c>
      <c r="AC88" s="2"/>
    </row>
    <row r="89" spans="1:29" x14ac:dyDescent="0.4">
      <c r="A89" s="2">
        <v>9082088</v>
      </c>
      <c r="B89" s="2" t="s">
        <v>9</v>
      </c>
      <c r="C89" s="2" t="s">
        <v>11</v>
      </c>
      <c r="D89" s="2" t="s">
        <v>15</v>
      </c>
      <c r="E89" s="2" t="s">
        <v>17</v>
      </c>
      <c r="F89" s="2" t="s">
        <v>38</v>
      </c>
      <c r="G89" s="2" t="s">
        <v>22</v>
      </c>
      <c r="H89" s="4">
        <f t="shared" si="10"/>
        <v>75</v>
      </c>
      <c r="I89" s="2" t="s">
        <v>22</v>
      </c>
      <c r="J89" s="4">
        <f t="shared" si="11"/>
        <v>75</v>
      </c>
      <c r="K89" s="2" t="s">
        <v>22</v>
      </c>
      <c r="L89" s="4">
        <f t="shared" si="12"/>
        <v>75</v>
      </c>
      <c r="M89" s="2" t="s">
        <v>22</v>
      </c>
      <c r="N89" s="4">
        <f t="shared" si="13"/>
        <v>75</v>
      </c>
      <c r="O89" s="2" t="s">
        <v>22</v>
      </c>
      <c r="P89" s="4">
        <f t="shared" si="14"/>
        <v>75</v>
      </c>
      <c r="Q89" s="2" t="s">
        <v>26</v>
      </c>
      <c r="R89" s="18">
        <f t="shared" si="15"/>
        <v>75</v>
      </c>
      <c r="S89" s="2" t="s">
        <v>27</v>
      </c>
      <c r="T89" s="4">
        <f t="shared" si="16"/>
        <v>100</v>
      </c>
      <c r="U89" s="2" t="s">
        <v>27</v>
      </c>
      <c r="V89" s="4">
        <f t="shared" si="17"/>
        <v>100</v>
      </c>
      <c r="W89" s="2" t="s">
        <v>26</v>
      </c>
      <c r="X89" s="4">
        <f t="shared" si="18"/>
        <v>75</v>
      </c>
      <c r="Y89" s="2" t="s">
        <v>31</v>
      </c>
      <c r="Z89" s="4">
        <f t="shared" si="19"/>
        <v>66.599999999999994</v>
      </c>
      <c r="AA89" s="2">
        <v>6</v>
      </c>
      <c r="AC89" s="2"/>
    </row>
    <row r="90" spans="1:29" x14ac:dyDescent="0.4">
      <c r="A90" s="2">
        <v>9083810</v>
      </c>
      <c r="B90" s="2" t="s">
        <v>8</v>
      </c>
      <c r="C90" s="2" t="s">
        <v>10</v>
      </c>
      <c r="D90" s="2" t="s">
        <v>15</v>
      </c>
      <c r="E90" s="2" t="s">
        <v>17</v>
      </c>
      <c r="F90" s="2" t="s">
        <v>39</v>
      </c>
      <c r="G90" s="2" t="s">
        <v>22</v>
      </c>
      <c r="H90" s="4">
        <f t="shared" si="10"/>
        <v>75</v>
      </c>
      <c r="I90" s="2" t="s">
        <v>22</v>
      </c>
      <c r="J90" s="4">
        <f t="shared" si="11"/>
        <v>75</v>
      </c>
      <c r="K90" s="2" t="s">
        <v>22</v>
      </c>
      <c r="L90" s="4">
        <f t="shared" si="12"/>
        <v>75</v>
      </c>
      <c r="M90" s="2"/>
      <c r="N90" s="4" t="str">
        <f t="shared" si="13"/>
        <v/>
      </c>
      <c r="O90" s="2" t="s">
        <v>22</v>
      </c>
      <c r="P90" s="4">
        <f t="shared" si="14"/>
        <v>75</v>
      </c>
      <c r="Q90" s="2" t="s">
        <v>27</v>
      </c>
      <c r="R90" s="18">
        <f t="shared" si="15"/>
        <v>100</v>
      </c>
      <c r="S90" s="2" t="s">
        <v>27</v>
      </c>
      <c r="T90" s="4">
        <f t="shared" si="16"/>
        <v>100</v>
      </c>
      <c r="U90" s="2"/>
      <c r="V90" s="4" t="str">
        <f t="shared" si="17"/>
        <v/>
      </c>
      <c r="W90" s="2" t="s">
        <v>27</v>
      </c>
      <c r="X90" s="4">
        <f t="shared" si="18"/>
        <v>100</v>
      </c>
      <c r="Y90" s="2" t="s">
        <v>31</v>
      </c>
      <c r="Z90" s="4">
        <f t="shared" si="19"/>
        <v>66.599999999999994</v>
      </c>
      <c r="AA90" s="2">
        <v>6</v>
      </c>
      <c r="AC90" s="2"/>
    </row>
    <row r="91" spans="1:29" x14ac:dyDescent="0.4">
      <c r="A91" s="2">
        <v>9090848</v>
      </c>
      <c r="B91" s="2" t="s">
        <v>8</v>
      </c>
      <c r="C91" s="2" t="s">
        <v>13</v>
      </c>
      <c r="D91" s="2" t="s">
        <v>16</v>
      </c>
      <c r="E91" s="2" t="s">
        <v>17</v>
      </c>
      <c r="F91" s="2" t="s">
        <v>37</v>
      </c>
      <c r="G91" s="2" t="s">
        <v>22</v>
      </c>
      <c r="H91" s="4">
        <f t="shared" si="10"/>
        <v>75</v>
      </c>
      <c r="I91" s="2" t="s">
        <v>22</v>
      </c>
      <c r="J91" s="4">
        <f t="shared" si="11"/>
        <v>75</v>
      </c>
      <c r="K91" s="2" t="s">
        <v>24</v>
      </c>
      <c r="L91" s="4">
        <f t="shared" si="12"/>
        <v>50</v>
      </c>
      <c r="M91" s="2" t="s">
        <v>24</v>
      </c>
      <c r="N91" s="4">
        <f t="shared" si="13"/>
        <v>50</v>
      </c>
      <c r="O91" s="2" t="s">
        <v>24</v>
      </c>
      <c r="P91" s="4">
        <f t="shared" si="14"/>
        <v>50</v>
      </c>
      <c r="Q91" s="2" t="s">
        <v>24</v>
      </c>
      <c r="R91" s="18">
        <f t="shared" si="15"/>
        <v>50</v>
      </c>
      <c r="S91" s="2" t="s">
        <v>24</v>
      </c>
      <c r="T91" s="4">
        <f t="shared" si="16"/>
        <v>50</v>
      </c>
      <c r="U91" s="2" t="s">
        <v>24</v>
      </c>
      <c r="V91" s="4">
        <f t="shared" si="17"/>
        <v>50</v>
      </c>
      <c r="W91" s="2" t="s">
        <v>24</v>
      </c>
      <c r="X91" s="4">
        <f t="shared" si="18"/>
        <v>50</v>
      </c>
      <c r="Y91" s="2" t="s">
        <v>31</v>
      </c>
      <c r="Z91" s="4">
        <f t="shared" si="19"/>
        <v>66.599999999999994</v>
      </c>
      <c r="AA91" s="2">
        <v>6</v>
      </c>
      <c r="AC91" s="2"/>
    </row>
    <row r="92" spans="1:29" x14ac:dyDescent="0.4">
      <c r="A92" s="2">
        <v>9095971</v>
      </c>
      <c r="B92" s="2" t="s">
        <v>8</v>
      </c>
      <c r="C92" s="2" t="s">
        <v>11</v>
      </c>
      <c r="D92" s="2" t="s">
        <v>15</v>
      </c>
      <c r="E92" s="2" t="s">
        <v>19</v>
      </c>
      <c r="F92" s="2" t="s">
        <v>39</v>
      </c>
      <c r="G92" s="2" t="s">
        <v>22</v>
      </c>
      <c r="H92" s="4">
        <f t="shared" si="10"/>
        <v>75</v>
      </c>
      <c r="I92" s="2" t="s">
        <v>22</v>
      </c>
      <c r="J92" s="4">
        <f t="shared" si="11"/>
        <v>75</v>
      </c>
      <c r="K92" s="2" t="s">
        <v>22</v>
      </c>
      <c r="L92" s="4">
        <f t="shared" si="12"/>
        <v>75</v>
      </c>
      <c r="M92" s="2"/>
      <c r="N92" s="4" t="str">
        <f t="shared" si="13"/>
        <v/>
      </c>
      <c r="O92" s="2" t="s">
        <v>22</v>
      </c>
      <c r="P92" s="4">
        <f t="shared" si="14"/>
        <v>75</v>
      </c>
      <c r="Q92" s="2" t="s">
        <v>26</v>
      </c>
      <c r="R92" s="18">
        <f t="shared" si="15"/>
        <v>75</v>
      </c>
      <c r="S92" s="2" t="s">
        <v>26</v>
      </c>
      <c r="T92" s="4">
        <f t="shared" si="16"/>
        <v>75</v>
      </c>
      <c r="U92" s="2"/>
      <c r="V92" s="4" t="str">
        <f t="shared" si="17"/>
        <v/>
      </c>
      <c r="W92" s="2" t="s">
        <v>27</v>
      </c>
      <c r="X92" s="4">
        <f t="shared" si="18"/>
        <v>100</v>
      </c>
      <c r="Y92" s="2" t="s">
        <v>31</v>
      </c>
      <c r="Z92" s="4">
        <f t="shared" si="19"/>
        <v>66.599999999999994</v>
      </c>
      <c r="AA92" s="2">
        <v>8</v>
      </c>
      <c r="AC92" s="2"/>
    </row>
    <row r="93" spans="1:29" x14ac:dyDescent="0.4">
      <c r="A93" s="2">
        <v>9096098</v>
      </c>
      <c r="B93" s="2" t="s">
        <v>8</v>
      </c>
      <c r="C93" s="2" t="s">
        <v>11</v>
      </c>
      <c r="D93" s="2" t="s">
        <v>16</v>
      </c>
      <c r="E93" s="2" t="s">
        <v>17</v>
      </c>
      <c r="F93" s="2" t="s">
        <v>37</v>
      </c>
      <c r="G93" s="2" t="s">
        <v>21</v>
      </c>
      <c r="H93" s="4">
        <f t="shared" si="10"/>
        <v>100</v>
      </c>
      <c r="I93" s="2" t="s">
        <v>21</v>
      </c>
      <c r="J93" s="4">
        <f t="shared" si="11"/>
        <v>100</v>
      </c>
      <c r="K93" s="2" t="s">
        <v>21</v>
      </c>
      <c r="L93" s="4">
        <f t="shared" si="12"/>
        <v>100</v>
      </c>
      <c r="M93" s="2" t="s">
        <v>21</v>
      </c>
      <c r="N93" s="4">
        <f t="shared" si="13"/>
        <v>100</v>
      </c>
      <c r="O93" s="2" t="s">
        <v>22</v>
      </c>
      <c r="P93" s="4">
        <f t="shared" si="14"/>
        <v>75</v>
      </c>
      <c r="Q93" s="2" t="s">
        <v>26</v>
      </c>
      <c r="R93" s="18">
        <f t="shared" si="15"/>
        <v>75</v>
      </c>
      <c r="S93" s="2" t="s">
        <v>26</v>
      </c>
      <c r="T93" s="4">
        <f t="shared" si="16"/>
        <v>75</v>
      </c>
      <c r="U93" s="2" t="s">
        <v>27</v>
      </c>
      <c r="V93" s="4">
        <f t="shared" si="17"/>
        <v>100</v>
      </c>
      <c r="W93" s="2" t="s">
        <v>26</v>
      </c>
      <c r="X93" s="4">
        <f t="shared" si="18"/>
        <v>75</v>
      </c>
      <c r="Y93" s="2" t="s">
        <v>30</v>
      </c>
      <c r="Z93" s="4">
        <f t="shared" si="19"/>
        <v>100</v>
      </c>
      <c r="AA93" s="2">
        <v>8</v>
      </c>
      <c r="AC93" s="2"/>
    </row>
    <row r="94" spans="1:29" x14ac:dyDescent="0.4">
      <c r="A94" s="2">
        <v>9102558</v>
      </c>
      <c r="B94" s="2" t="s">
        <v>9</v>
      </c>
      <c r="C94" s="2" t="s">
        <v>12</v>
      </c>
      <c r="D94" s="2" t="s">
        <v>15</v>
      </c>
      <c r="E94" s="2" t="s">
        <v>20</v>
      </c>
      <c r="F94" s="2" t="s">
        <v>39</v>
      </c>
      <c r="G94" s="2" t="s">
        <v>21</v>
      </c>
      <c r="H94" s="4">
        <f t="shared" si="10"/>
        <v>100</v>
      </c>
      <c r="I94" s="2" t="s">
        <v>21</v>
      </c>
      <c r="J94" s="4">
        <f t="shared" si="11"/>
        <v>100</v>
      </c>
      <c r="K94" s="2" t="s">
        <v>21</v>
      </c>
      <c r="L94" s="4">
        <f t="shared" si="12"/>
        <v>100</v>
      </c>
      <c r="M94" s="2"/>
      <c r="N94" s="4" t="str">
        <f t="shared" si="13"/>
        <v/>
      </c>
      <c r="O94" s="2" t="s">
        <v>21</v>
      </c>
      <c r="P94" s="4">
        <f t="shared" si="14"/>
        <v>100</v>
      </c>
      <c r="Q94" s="2" t="s">
        <v>27</v>
      </c>
      <c r="R94" s="18">
        <f t="shared" si="15"/>
        <v>100</v>
      </c>
      <c r="S94" s="2" t="s">
        <v>27</v>
      </c>
      <c r="T94" s="4">
        <f t="shared" si="16"/>
        <v>100</v>
      </c>
      <c r="U94" s="2"/>
      <c r="V94" s="4" t="str">
        <f t="shared" si="17"/>
        <v/>
      </c>
      <c r="W94" s="2" t="s">
        <v>27</v>
      </c>
      <c r="X94" s="4">
        <f t="shared" si="18"/>
        <v>100</v>
      </c>
      <c r="Y94" s="2" t="s">
        <v>30</v>
      </c>
      <c r="Z94" s="4">
        <f t="shared" si="19"/>
        <v>100</v>
      </c>
      <c r="AA94" s="2">
        <v>7</v>
      </c>
      <c r="AC94" s="2"/>
    </row>
    <row r="95" spans="1:29" x14ac:dyDescent="0.4">
      <c r="A95" s="2">
        <v>9102947</v>
      </c>
      <c r="B95" s="2" t="s">
        <v>8</v>
      </c>
      <c r="C95" s="2" t="s">
        <v>10</v>
      </c>
      <c r="D95" s="2" t="s">
        <v>16</v>
      </c>
      <c r="E95" s="2" t="s">
        <v>17</v>
      </c>
      <c r="F95" s="2" t="s">
        <v>39</v>
      </c>
      <c r="G95" s="2" t="s">
        <v>21</v>
      </c>
      <c r="H95" s="4">
        <f t="shared" si="10"/>
        <v>100</v>
      </c>
      <c r="I95" s="2" t="s">
        <v>22</v>
      </c>
      <c r="J95" s="4">
        <f t="shared" si="11"/>
        <v>75</v>
      </c>
      <c r="K95" s="2" t="s">
        <v>22</v>
      </c>
      <c r="L95" s="4">
        <f t="shared" si="12"/>
        <v>75</v>
      </c>
      <c r="M95" s="2"/>
      <c r="N95" s="4" t="str">
        <f t="shared" si="13"/>
        <v/>
      </c>
      <c r="O95" s="2" t="s">
        <v>21</v>
      </c>
      <c r="P95" s="4">
        <f t="shared" si="14"/>
        <v>100</v>
      </c>
      <c r="Q95" s="2" t="s">
        <v>27</v>
      </c>
      <c r="R95" s="18">
        <f t="shared" si="15"/>
        <v>100</v>
      </c>
      <c r="S95" s="2" t="s">
        <v>27</v>
      </c>
      <c r="T95" s="4">
        <f t="shared" si="16"/>
        <v>100</v>
      </c>
      <c r="U95" s="2"/>
      <c r="V95" s="4" t="str">
        <f t="shared" si="17"/>
        <v/>
      </c>
      <c r="W95" s="2" t="s">
        <v>27</v>
      </c>
      <c r="X95" s="4">
        <f t="shared" si="18"/>
        <v>100</v>
      </c>
      <c r="Y95" s="2" t="s">
        <v>31</v>
      </c>
      <c r="Z95" s="4">
        <f t="shared" si="19"/>
        <v>66.599999999999994</v>
      </c>
      <c r="AA95" s="2">
        <v>4</v>
      </c>
      <c r="AC95" s="2"/>
    </row>
    <row r="96" spans="1:29" x14ac:dyDescent="0.4">
      <c r="A96" s="2">
        <v>9104497</v>
      </c>
      <c r="B96" s="2" t="s">
        <v>8</v>
      </c>
      <c r="C96" s="2" t="s">
        <v>14</v>
      </c>
      <c r="D96" s="2" t="s">
        <v>16</v>
      </c>
      <c r="E96" s="2" t="s">
        <v>18</v>
      </c>
      <c r="F96" s="2" t="s">
        <v>37</v>
      </c>
      <c r="G96" s="2" t="s">
        <v>22</v>
      </c>
      <c r="H96" s="4">
        <f t="shared" si="10"/>
        <v>75</v>
      </c>
      <c r="I96" s="2" t="s">
        <v>22</v>
      </c>
      <c r="J96" s="4">
        <f t="shared" si="11"/>
        <v>75</v>
      </c>
      <c r="K96" s="2" t="s">
        <v>22</v>
      </c>
      <c r="L96" s="4">
        <f t="shared" si="12"/>
        <v>75</v>
      </c>
      <c r="M96" s="2" t="s">
        <v>23</v>
      </c>
      <c r="N96" s="4">
        <f t="shared" si="13"/>
        <v>25</v>
      </c>
      <c r="O96" s="2" t="s">
        <v>22</v>
      </c>
      <c r="P96" s="4">
        <f t="shared" si="14"/>
        <v>75</v>
      </c>
      <c r="Q96" s="2" t="s">
        <v>29</v>
      </c>
      <c r="R96" s="18">
        <f t="shared" si="15"/>
        <v>25</v>
      </c>
      <c r="S96" s="2" t="s">
        <v>27</v>
      </c>
      <c r="T96" s="4">
        <f t="shared" si="16"/>
        <v>100</v>
      </c>
      <c r="U96" s="2" t="s">
        <v>27</v>
      </c>
      <c r="V96" s="4">
        <f t="shared" si="17"/>
        <v>100</v>
      </c>
      <c r="W96" s="2" t="s">
        <v>27</v>
      </c>
      <c r="X96" s="4">
        <f t="shared" si="18"/>
        <v>100</v>
      </c>
      <c r="Y96" s="2" t="s">
        <v>31</v>
      </c>
      <c r="Z96" s="4">
        <f t="shared" si="19"/>
        <v>66.599999999999994</v>
      </c>
      <c r="AA96" s="2">
        <v>4</v>
      </c>
      <c r="AC96" s="2"/>
    </row>
    <row r="97" spans="1:29" x14ac:dyDescent="0.4">
      <c r="A97" s="2">
        <v>9106906</v>
      </c>
      <c r="B97" s="2" t="s">
        <v>8</v>
      </c>
      <c r="C97" s="2" t="s">
        <v>13</v>
      </c>
      <c r="D97" s="2" t="s">
        <v>16</v>
      </c>
      <c r="E97" s="2" t="s">
        <v>19</v>
      </c>
      <c r="F97" s="2" t="s">
        <v>38</v>
      </c>
      <c r="G97" s="2" t="s">
        <v>21</v>
      </c>
      <c r="H97" s="4">
        <f t="shared" si="10"/>
        <v>100</v>
      </c>
      <c r="I97" s="2" t="s">
        <v>21</v>
      </c>
      <c r="J97" s="4">
        <f t="shared" si="11"/>
        <v>100</v>
      </c>
      <c r="K97" s="2" t="s">
        <v>21</v>
      </c>
      <c r="L97" s="4">
        <f t="shared" si="12"/>
        <v>100</v>
      </c>
      <c r="M97" s="2" t="s">
        <v>21</v>
      </c>
      <c r="N97" s="4">
        <f t="shared" si="13"/>
        <v>100</v>
      </c>
      <c r="O97" s="2" t="s">
        <v>21</v>
      </c>
      <c r="P97" s="4">
        <f t="shared" si="14"/>
        <v>100</v>
      </c>
      <c r="Q97" s="2" t="s">
        <v>27</v>
      </c>
      <c r="R97" s="18">
        <f t="shared" si="15"/>
        <v>100</v>
      </c>
      <c r="S97" s="2" t="s">
        <v>27</v>
      </c>
      <c r="T97" s="4">
        <f t="shared" si="16"/>
        <v>100</v>
      </c>
      <c r="U97" s="2" t="s">
        <v>27</v>
      </c>
      <c r="V97" s="4">
        <f t="shared" si="17"/>
        <v>100</v>
      </c>
      <c r="W97" s="2" t="s">
        <v>27</v>
      </c>
      <c r="X97" s="4">
        <f t="shared" si="18"/>
        <v>100</v>
      </c>
      <c r="Y97" s="2" t="s">
        <v>30</v>
      </c>
      <c r="Z97" s="4">
        <f t="shared" si="19"/>
        <v>100</v>
      </c>
      <c r="AA97" s="2">
        <v>10</v>
      </c>
      <c r="AC97" s="2"/>
    </row>
    <row r="98" spans="1:29" x14ac:dyDescent="0.4">
      <c r="A98" s="2">
        <v>9109992</v>
      </c>
      <c r="B98" s="2" t="s">
        <v>8</v>
      </c>
      <c r="C98" s="2" t="s">
        <v>10</v>
      </c>
      <c r="D98" s="2" t="s">
        <v>16</v>
      </c>
      <c r="E98" s="2" t="s">
        <v>17</v>
      </c>
      <c r="F98" s="2" t="s">
        <v>38</v>
      </c>
      <c r="G98" s="2" t="s">
        <v>24</v>
      </c>
      <c r="H98" s="4">
        <f t="shared" si="10"/>
        <v>50</v>
      </c>
      <c r="I98" s="2" t="s">
        <v>23</v>
      </c>
      <c r="J98" s="4">
        <f t="shared" si="11"/>
        <v>25</v>
      </c>
      <c r="K98" s="2" t="s">
        <v>24</v>
      </c>
      <c r="L98" s="4">
        <f t="shared" si="12"/>
        <v>50</v>
      </c>
      <c r="M98" s="2" t="s">
        <v>24</v>
      </c>
      <c r="N98" s="4">
        <f t="shared" si="13"/>
        <v>50</v>
      </c>
      <c r="O98" s="2" t="s">
        <v>24</v>
      </c>
      <c r="P98" s="4">
        <f t="shared" si="14"/>
        <v>50</v>
      </c>
      <c r="Q98" s="2" t="s">
        <v>24</v>
      </c>
      <c r="R98" s="18">
        <f t="shared" si="15"/>
        <v>50</v>
      </c>
      <c r="S98" s="2" t="s">
        <v>26</v>
      </c>
      <c r="T98" s="4">
        <f t="shared" si="16"/>
        <v>75</v>
      </c>
      <c r="U98" s="2" t="s">
        <v>27</v>
      </c>
      <c r="V98" s="4">
        <f t="shared" si="17"/>
        <v>100</v>
      </c>
      <c r="W98" s="2" t="s">
        <v>26</v>
      </c>
      <c r="X98" s="4">
        <f t="shared" si="18"/>
        <v>75</v>
      </c>
      <c r="Y98" s="2" t="s">
        <v>31</v>
      </c>
      <c r="Z98" s="4">
        <f t="shared" si="19"/>
        <v>66.599999999999994</v>
      </c>
      <c r="AA98" s="2">
        <v>5</v>
      </c>
      <c r="AC98" s="2"/>
    </row>
    <row r="99" spans="1:29" x14ac:dyDescent="0.4">
      <c r="A99" s="2">
        <v>9131110</v>
      </c>
      <c r="B99" s="2" t="s">
        <v>9</v>
      </c>
      <c r="C99" s="2" t="s">
        <v>12</v>
      </c>
      <c r="D99" s="2" t="s">
        <v>15</v>
      </c>
      <c r="E99" s="2" t="s">
        <v>17</v>
      </c>
      <c r="F99" s="2" t="s">
        <v>38</v>
      </c>
      <c r="G99" s="2" t="s">
        <v>22</v>
      </c>
      <c r="H99" s="4">
        <f t="shared" si="10"/>
        <v>75</v>
      </c>
      <c r="I99" s="2" t="s">
        <v>22</v>
      </c>
      <c r="J99" s="4">
        <f t="shared" si="11"/>
        <v>75</v>
      </c>
      <c r="K99" s="2" t="s">
        <v>22</v>
      </c>
      <c r="L99" s="4">
        <f t="shared" si="12"/>
        <v>75</v>
      </c>
      <c r="M99" s="2" t="s">
        <v>22</v>
      </c>
      <c r="N99" s="4">
        <f t="shared" si="13"/>
        <v>75</v>
      </c>
      <c r="O99" s="2" t="s">
        <v>22</v>
      </c>
      <c r="P99" s="4">
        <f t="shared" si="14"/>
        <v>75</v>
      </c>
      <c r="Q99" s="2" t="s">
        <v>26</v>
      </c>
      <c r="R99" s="18">
        <f t="shared" si="15"/>
        <v>75</v>
      </c>
      <c r="S99" s="2" t="s">
        <v>26</v>
      </c>
      <c r="T99" s="4">
        <f t="shared" si="16"/>
        <v>75</v>
      </c>
      <c r="U99" s="2" t="s">
        <v>26</v>
      </c>
      <c r="V99" s="4">
        <f t="shared" si="17"/>
        <v>75</v>
      </c>
      <c r="W99" s="2" t="s">
        <v>26</v>
      </c>
      <c r="X99" s="4">
        <f t="shared" si="18"/>
        <v>75</v>
      </c>
      <c r="Y99" s="2" t="s">
        <v>31</v>
      </c>
      <c r="Z99" s="4">
        <f t="shared" si="19"/>
        <v>66.599999999999994</v>
      </c>
      <c r="AA99" s="2">
        <v>7</v>
      </c>
      <c r="AC99" s="2"/>
    </row>
    <row r="100" spans="1:29" x14ac:dyDescent="0.4">
      <c r="A100" s="2">
        <v>9161887</v>
      </c>
      <c r="B100" s="2" t="s">
        <v>9</v>
      </c>
      <c r="C100" s="2" t="s">
        <v>11</v>
      </c>
      <c r="D100" s="2" t="s">
        <v>15</v>
      </c>
      <c r="E100" s="2" t="s">
        <v>17</v>
      </c>
      <c r="F100" s="2" t="s">
        <v>39</v>
      </c>
      <c r="G100" s="2" t="s">
        <v>21</v>
      </c>
      <c r="H100" s="4">
        <f t="shared" si="10"/>
        <v>100</v>
      </c>
      <c r="I100" s="2" t="s">
        <v>22</v>
      </c>
      <c r="J100" s="4">
        <f t="shared" si="11"/>
        <v>75</v>
      </c>
      <c r="K100" s="2" t="s">
        <v>21</v>
      </c>
      <c r="L100" s="4">
        <f t="shared" si="12"/>
        <v>100</v>
      </c>
      <c r="M100" s="2"/>
      <c r="N100" s="4" t="str">
        <f t="shared" si="13"/>
        <v/>
      </c>
      <c r="O100" s="2" t="s">
        <v>22</v>
      </c>
      <c r="P100" s="4">
        <f t="shared" si="14"/>
        <v>75</v>
      </c>
      <c r="Q100" s="2" t="s">
        <v>27</v>
      </c>
      <c r="R100" s="18">
        <f t="shared" si="15"/>
        <v>100</v>
      </c>
      <c r="S100" s="2" t="s">
        <v>27</v>
      </c>
      <c r="T100" s="4">
        <f t="shared" si="16"/>
        <v>100</v>
      </c>
      <c r="U100" s="2"/>
      <c r="V100" s="4" t="str">
        <f t="shared" si="17"/>
        <v/>
      </c>
      <c r="W100" s="2" t="s">
        <v>27</v>
      </c>
      <c r="X100" s="4">
        <f t="shared" si="18"/>
        <v>100</v>
      </c>
      <c r="Y100" s="2" t="s">
        <v>30</v>
      </c>
      <c r="Z100" s="4">
        <f t="shared" si="19"/>
        <v>100</v>
      </c>
      <c r="AA100" s="2">
        <v>10</v>
      </c>
      <c r="AC100" s="2"/>
    </row>
    <row r="101" spans="1:29" x14ac:dyDescent="0.4">
      <c r="A101" s="2">
        <v>9170205</v>
      </c>
      <c r="B101" s="2" t="s">
        <v>8</v>
      </c>
      <c r="C101" s="2" t="s">
        <v>10</v>
      </c>
      <c r="D101" s="2" t="s">
        <v>15</v>
      </c>
      <c r="E101" s="2" t="s">
        <v>17</v>
      </c>
      <c r="F101" s="2" t="s">
        <v>38</v>
      </c>
      <c r="G101" s="2" t="s">
        <v>24</v>
      </c>
      <c r="H101" s="4">
        <f t="shared" si="10"/>
        <v>50</v>
      </c>
      <c r="I101" s="2" t="s">
        <v>22</v>
      </c>
      <c r="J101" s="4">
        <f t="shared" si="11"/>
        <v>75</v>
      </c>
      <c r="K101" s="2" t="s">
        <v>22</v>
      </c>
      <c r="L101" s="4">
        <f t="shared" si="12"/>
        <v>75</v>
      </c>
      <c r="M101" s="2" t="s">
        <v>23</v>
      </c>
      <c r="N101" s="4">
        <f t="shared" si="13"/>
        <v>25</v>
      </c>
      <c r="O101" s="2" t="s">
        <v>22</v>
      </c>
      <c r="P101" s="4">
        <f t="shared" si="14"/>
        <v>75</v>
      </c>
      <c r="Q101" s="2" t="s">
        <v>27</v>
      </c>
      <c r="R101" s="18">
        <f t="shared" si="15"/>
        <v>100</v>
      </c>
      <c r="S101" s="2" t="s">
        <v>26</v>
      </c>
      <c r="T101" s="4">
        <f t="shared" si="16"/>
        <v>75</v>
      </c>
      <c r="U101" s="2" t="s">
        <v>27</v>
      </c>
      <c r="V101" s="4">
        <f t="shared" si="17"/>
        <v>100</v>
      </c>
      <c r="W101" s="2" t="s">
        <v>27</v>
      </c>
      <c r="X101" s="4">
        <f t="shared" si="18"/>
        <v>100</v>
      </c>
      <c r="Y101" s="2" t="s">
        <v>30</v>
      </c>
      <c r="Z101" s="4">
        <f t="shared" si="19"/>
        <v>100</v>
      </c>
      <c r="AA101" s="2">
        <v>5</v>
      </c>
      <c r="AC101" s="2"/>
    </row>
    <row r="102" spans="1:29" x14ac:dyDescent="0.4">
      <c r="A102"/>
      <c r="B102"/>
      <c r="C102"/>
      <c r="D102"/>
      <c r="E102"/>
      <c r="G102"/>
      <c r="H102" s="4" t="str">
        <f t="shared" si="10"/>
        <v/>
      </c>
      <c r="I102"/>
      <c r="J102" s="4" t="str">
        <f t="shared" si="11"/>
        <v/>
      </c>
      <c r="K102"/>
      <c r="L102" s="4" t="str">
        <f t="shared" si="12"/>
        <v/>
      </c>
      <c r="M102"/>
      <c r="N102" s="4" t="str">
        <f t="shared" si="13"/>
        <v/>
      </c>
      <c r="O102"/>
      <c r="P102" s="4" t="str">
        <f t="shared" si="14"/>
        <v/>
      </c>
      <c r="Q102"/>
      <c r="R102" s="18" t="str">
        <f t="shared" si="15"/>
        <v/>
      </c>
      <c r="S102"/>
      <c r="T102" s="4" t="str">
        <f t="shared" si="16"/>
        <v/>
      </c>
      <c r="U102"/>
      <c r="V102" s="4" t="str">
        <f t="shared" si="17"/>
        <v/>
      </c>
      <c r="W102"/>
      <c r="X102" s="4" t="str">
        <f t="shared" si="18"/>
        <v/>
      </c>
      <c r="Y102"/>
      <c r="Z102" s="4" t="str">
        <f t="shared" si="19"/>
        <v/>
      </c>
      <c r="AA102"/>
    </row>
    <row r="103" spans="1:29" x14ac:dyDescent="0.4">
      <c r="A103"/>
      <c r="B103"/>
      <c r="C103"/>
      <c r="D103"/>
      <c r="E103"/>
      <c r="G103"/>
      <c r="H103" s="4" t="str">
        <f t="shared" si="10"/>
        <v/>
      </c>
      <c r="I103"/>
      <c r="J103" s="4" t="str">
        <f t="shared" si="11"/>
        <v/>
      </c>
      <c r="K103"/>
      <c r="L103" s="4" t="str">
        <f t="shared" si="12"/>
        <v/>
      </c>
      <c r="M103"/>
      <c r="N103" s="4" t="str">
        <f t="shared" si="13"/>
        <v/>
      </c>
      <c r="O103"/>
      <c r="P103" s="4" t="str">
        <f t="shared" si="14"/>
        <v/>
      </c>
      <c r="Q103"/>
      <c r="R103" s="18" t="str">
        <f t="shared" si="15"/>
        <v/>
      </c>
      <c r="S103"/>
      <c r="T103" s="4" t="str">
        <f t="shared" si="16"/>
        <v/>
      </c>
      <c r="U103"/>
      <c r="V103" s="4" t="str">
        <f t="shared" si="17"/>
        <v/>
      </c>
      <c r="W103"/>
      <c r="X103" s="4" t="str">
        <f t="shared" si="18"/>
        <v/>
      </c>
      <c r="Y103"/>
      <c r="Z103" s="4" t="str">
        <f t="shared" si="19"/>
        <v/>
      </c>
      <c r="AA103"/>
    </row>
    <row r="104" spans="1:29" x14ac:dyDescent="0.4">
      <c r="A104"/>
      <c r="B104"/>
      <c r="C104"/>
      <c r="D104"/>
      <c r="E104"/>
      <c r="G104"/>
      <c r="H104" s="4" t="str">
        <f t="shared" si="10"/>
        <v/>
      </c>
      <c r="I104"/>
      <c r="J104" s="4" t="str">
        <f t="shared" si="11"/>
        <v/>
      </c>
      <c r="K104"/>
      <c r="L104" s="4" t="str">
        <f t="shared" si="12"/>
        <v/>
      </c>
      <c r="M104"/>
      <c r="N104" s="4" t="str">
        <f t="shared" si="13"/>
        <v/>
      </c>
      <c r="O104"/>
      <c r="P104" s="4" t="str">
        <f t="shared" si="14"/>
        <v/>
      </c>
      <c r="Q104"/>
      <c r="R104" s="18" t="str">
        <f t="shared" si="15"/>
        <v/>
      </c>
      <c r="S104"/>
      <c r="T104" s="4" t="str">
        <f t="shared" si="16"/>
        <v/>
      </c>
      <c r="U104"/>
      <c r="V104" s="4" t="str">
        <f t="shared" si="17"/>
        <v/>
      </c>
      <c r="W104"/>
      <c r="X104" s="4" t="str">
        <f t="shared" si="18"/>
        <v/>
      </c>
      <c r="Y104"/>
      <c r="Z104" s="4" t="str">
        <f t="shared" si="19"/>
        <v/>
      </c>
      <c r="AA104"/>
    </row>
    <row r="105" spans="1:29" x14ac:dyDescent="0.4">
      <c r="A105"/>
      <c r="B105"/>
      <c r="C105"/>
      <c r="D105"/>
      <c r="E105"/>
      <c r="G105"/>
      <c r="H105" s="4" t="str">
        <f t="shared" si="10"/>
        <v/>
      </c>
      <c r="I105"/>
      <c r="J105" s="4" t="str">
        <f t="shared" si="11"/>
        <v/>
      </c>
      <c r="K105"/>
      <c r="L105" s="4" t="str">
        <f t="shared" si="12"/>
        <v/>
      </c>
      <c r="M105"/>
      <c r="N105" s="4" t="str">
        <f t="shared" si="13"/>
        <v/>
      </c>
      <c r="O105"/>
      <c r="P105" s="4" t="str">
        <f t="shared" si="14"/>
        <v/>
      </c>
      <c r="Q105"/>
      <c r="R105" s="18" t="str">
        <f t="shared" si="15"/>
        <v/>
      </c>
      <c r="S105"/>
      <c r="T105" s="4" t="str">
        <f t="shared" si="16"/>
        <v/>
      </c>
      <c r="U105"/>
      <c r="V105" s="4" t="str">
        <f t="shared" si="17"/>
        <v/>
      </c>
      <c r="W105"/>
      <c r="X105" s="4" t="str">
        <f t="shared" si="18"/>
        <v/>
      </c>
      <c r="Y105"/>
      <c r="Z105" s="4" t="str">
        <f t="shared" si="19"/>
        <v/>
      </c>
      <c r="AA105"/>
    </row>
    <row r="106" spans="1:29" x14ac:dyDescent="0.4">
      <c r="A106"/>
      <c r="B106"/>
      <c r="C106"/>
      <c r="D106"/>
      <c r="E106"/>
      <c r="G106"/>
      <c r="H106" s="4" t="str">
        <f t="shared" si="10"/>
        <v/>
      </c>
      <c r="I106"/>
      <c r="J106" s="4" t="str">
        <f t="shared" si="11"/>
        <v/>
      </c>
      <c r="K106"/>
      <c r="L106" s="4" t="str">
        <f t="shared" si="12"/>
        <v/>
      </c>
      <c r="M106"/>
      <c r="N106" s="4" t="str">
        <f t="shared" si="13"/>
        <v/>
      </c>
      <c r="O106"/>
      <c r="P106" s="4" t="str">
        <f t="shared" si="14"/>
        <v/>
      </c>
      <c r="Q106"/>
      <c r="R106" s="18" t="str">
        <f t="shared" si="15"/>
        <v/>
      </c>
      <c r="S106"/>
      <c r="T106" s="4" t="str">
        <f t="shared" si="16"/>
        <v/>
      </c>
      <c r="U106"/>
      <c r="V106" s="4" t="str">
        <f t="shared" si="17"/>
        <v/>
      </c>
      <c r="W106"/>
      <c r="X106" s="4" t="str">
        <f t="shared" si="18"/>
        <v/>
      </c>
      <c r="Y106"/>
      <c r="Z106" s="4" t="str">
        <f t="shared" si="19"/>
        <v/>
      </c>
      <c r="AA106"/>
    </row>
    <row r="107" spans="1:29" x14ac:dyDescent="0.4">
      <c r="A107"/>
      <c r="B107"/>
      <c r="C107"/>
      <c r="D107"/>
      <c r="E107"/>
      <c r="G107"/>
      <c r="H107" s="4" t="str">
        <f t="shared" si="10"/>
        <v/>
      </c>
      <c r="I107"/>
      <c r="J107" s="4" t="str">
        <f t="shared" si="11"/>
        <v/>
      </c>
      <c r="K107"/>
      <c r="L107" s="4" t="str">
        <f t="shared" si="12"/>
        <v/>
      </c>
      <c r="M107"/>
      <c r="N107" s="4" t="str">
        <f t="shared" si="13"/>
        <v/>
      </c>
      <c r="O107"/>
      <c r="P107" s="4" t="str">
        <f t="shared" si="14"/>
        <v/>
      </c>
      <c r="Q107"/>
      <c r="R107" s="18" t="str">
        <f t="shared" si="15"/>
        <v/>
      </c>
      <c r="S107"/>
      <c r="T107" s="4" t="str">
        <f t="shared" si="16"/>
        <v/>
      </c>
      <c r="U107"/>
      <c r="V107" s="4" t="str">
        <f t="shared" si="17"/>
        <v/>
      </c>
      <c r="W107"/>
      <c r="X107" s="4" t="str">
        <f t="shared" si="18"/>
        <v/>
      </c>
      <c r="Y107"/>
      <c r="Z107" s="4" t="str">
        <f t="shared" si="19"/>
        <v/>
      </c>
      <c r="AA107"/>
    </row>
    <row r="108" spans="1:29" x14ac:dyDescent="0.4">
      <c r="A108"/>
      <c r="B108"/>
      <c r="C108"/>
      <c r="D108"/>
      <c r="E108"/>
      <c r="G108"/>
      <c r="H108" s="4" t="str">
        <f t="shared" si="10"/>
        <v/>
      </c>
      <c r="I108"/>
      <c r="J108" s="4" t="str">
        <f t="shared" si="11"/>
        <v/>
      </c>
      <c r="K108"/>
      <c r="L108" s="4" t="str">
        <f t="shared" si="12"/>
        <v/>
      </c>
      <c r="M108"/>
      <c r="N108" s="4" t="str">
        <f t="shared" si="13"/>
        <v/>
      </c>
      <c r="O108"/>
      <c r="P108" s="4" t="str">
        <f t="shared" si="14"/>
        <v/>
      </c>
      <c r="Q108"/>
      <c r="R108" s="18" t="str">
        <f t="shared" si="15"/>
        <v/>
      </c>
      <c r="S108"/>
      <c r="T108" s="4" t="str">
        <f t="shared" si="16"/>
        <v/>
      </c>
      <c r="U108"/>
      <c r="V108" s="4" t="str">
        <f t="shared" si="17"/>
        <v/>
      </c>
      <c r="W108"/>
      <c r="X108" s="4" t="str">
        <f t="shared" si="18"/>
        <v/>
      </c>
      <c r="Y108"/>
      <c r="Z108" s="4" t="str">
        <f t="shared" si="19"/>
        <v/>
      </c>
      <c r="AA108"/>
    </row>
    <row r="109" spans="1:29" x14ac:dyDescent="0.4">
      <c r="A109"/>
      <c r="B109"/>
      <c r="C109"/>
      <c r="D109"/>
      <c r="E109"/>
      <c r="G109"/>
      <c r="H109" s="4" t="str">
        <f t="shared" si="10"/>
        <v/>
      </c>
      <c r="I109"/>
      <c r="J109" s="4" t="str">
        <f t="shared" si="11"/>
        <v/>
      </c>
      <c r="K109"/>
      <c r="L109" s="4" t="str">
        <f t="shared" si="12"/>
        <v/>
      </c>
      <c r="M109"/>
      <c r="N109" s="4" t="str">
        <f t="shared" si="13"/>
        <v/>
      </c>
      <c r="O109"/>
      <c r="P109" s="4" t="str">
        <f t="shared" si="14"/>
        <v/>
      </c>
      <c r="Q109"/>
      <c r="R109" s="18" t="str">
        <f t="shared" si="15"/>
        <v/>
      </c>
      <c r="S109"/>
      <c r="T109" s="4" t="str">
        <f t="shared" si="16"/>
        <v/>
      </c>
      <c r="U109"/>
      <c r="V109" s="4" t="str">
        <f t="shared" si="17"/>
        <v/>
      </c>
      <c r="W109"/>
      <c r="X109" s="4" t="str">
        <f t="shared" si="18"/>
        <v/>
      </c>
      <c r="Y109"/>
      <c r="Z109" s="4" t="str">
        <f t="shared" si="19"/>
        <v/>
      </c>
      <c r="AA109"/>
    </row>
    <row r="110" spans="1:29" x14ac:dyDescent="0.4">
      <c r="A110"/>
      <c r="B110"/>
      <c r="C110"/>
      <c r="D110"/>
      <c r="E110"/>
      <c r="G110"/>
      <c r="H110" s="4" t="str">
        <f t="shared" si="10"/>
        <v/>
      </c>
      <c r="I110"/>
      <c r="J110" s="4" t="str">
        <f t="shared" si="11"/>
        <v/>
      </c>
      <c r="K110"/>
      <c r="L110" s="4" t="str">
        <f t="shared" si="12"/>
        <v/>
      </c>
      <c r="M110"/>
      <c r="N110" s="4" t="str">
        <f t="shared" si="13"/>
        <v/>
      </c>
      <c r="O110"/>
      <c r="P110" s="4" t="str">
        <f t="shared" si="14"/>
        <v/>
      </c>
      <c r="Q110"/>
      <c r="R110" s="18" t="str">
        <f t="shared" si="15"/>
        <v/>
      </c>
      <c r="S110"/>
      <c r="T110" s="4" t="str">
        <f t="shared" si="16"/>
        <v/>
      </c>
      <c r="U110"/>
      <c r="V110" s="4" t="str">
        <f t="shared" si="17"/>
        <v/>
      </c>
      <c r="W110"/>
      <c r="X110" s="4" t="str">
        <f t="shared" si="18"/>
        <v/>
      </c>
      <c r="Y110"/>
      <c r="Z110" s="4" t="str">
        <f t="shared" si="19"/>
        <v/>
      </c>
      <c r="AA110"/>
    </row>
    <row r="111" spans="1:29" x14ac:dyDescent="0.4">
      <c r="A111"/>
      <c r="B111"/>
      <c r="C111"/>
      <c r="D111"/>
      <c r="E111"/>
      <c r="G111"/>
      <c r="H111" s="4" t="str">
        <f t="shared" si="10"/>
        <v/>
      </c>
      <c r="I111"/>
      <c r="J111" s="4" t="str">
        <f t="shared" si="11"/>
        <v/>
      </c>
      <c r="K111"/>
      <c r="L111" s="4" t="str">
        <f t="shared" si="12"/>
        <v/>
      </c>
      <c r="M111"/>
      <c r="N111" s="4" t="str">
        <f t="shared" si="13"/>
        <v/>
      </c>
      <c r="O111"/>
      <c r="P111" s="4" t="str">
        <f t="shared" si="14"/>
        <v/>
      </c>
      <c r="Q111"/>
      <c r="R111" s="18" t="str">
        <f t="shared" si="15"/>
        <v/>
      </c>
      <c r="S111"/>
      <c r="T111" s="4" t="str">
        <f t="shared" si="16"/>
        <v/>
      </c>
      <c r="U111"/>
      <c r="V111" s="4" t="str">
        <f t="shared" si="17"/>
        <v/>
      </c>
      <c r="W111"/>
      <c r="X111" s="4" t="str">
        <f t="shared" si="18"/>
        <v/>
      </c>
      <c r="Y111"/>
      <c r="Z111" s="4" t="str">
        <f t="shared" si="19"/>
        <v/>
      </c>
      <c r="AA111"/>
    </row>
    <row r="112" spans="1:29" x14ac:dyDescent="0.4">
      <c r="A112"/>
      <c r="B112"/>
      <c r="C112"/>
      <c r="D112"/>
      <c r="E112"/>
      <c r="G112"/>
      <c r="H112" s="4" t="str">
        <f t="shared" si="10"/>
        <v/>
      </c>
      <c r="I112"/>
      <c r="J112" s="4" t="str">
        <f t="shared" si="11"/>
        <v/>
      </c>
      <c r="K112"/>
      <c r="L112" s="4" t="str">
        <f t="shared" si="12"/>
        <v/>
      </c>
      <c r="M112"/>
      <c r="N112" s="4" t="str">
        <f t="shared" si="13"/>
        <v/>
      </c>
      <c r="O112"/>
      <c r="P112" s="4" t="str">
        <f t="shared" si="14"/>
        <v/>
      </c>
      <c r="Q112"/>
      <c r="R112" s="18" t="str">
        <f t="shared" si="15"/>
        <v/>
      </c>
      <c r="S112"/>
      <c r="T112" s="4" t="str">
        <f t="shared" si="16"/>
        <v/>
      </c>
      <c r="U112"/>
      <c r="V112" s="4" t="str">
        <f t="shared" si="17"/>
        <v/>
      </c>
      <c r="W112"/>
      <c r="X112" s="4" t="str">
        <f t="shared" si="18"/>
        <v/>
      </c>
      <c r="Y112"/>
      <c r="Z112" s="4" t="str">
        <f t="shared" si="19"/>
        <v/>
      </c>
      <c r="AA112"/>
    </row>
    <row r="113" spans="1:27" x14ac:dyDescent="0.4">
      <c r="A113"/>
      <c r="B113"/>
      <c r="C113"/>
      <c r="D113"/>
      <c r="E113"/>
      <c r="G113"/>
      <c r="H113" s="4" t="str">
        <f t="shared" si="10"/>
        <v/>
      </c>
      <c r="I113"/>
      <c r="J113" s="4" t="str">
        <f t="shared" si="11"/>
        <v/>
      </c>
      <c r="K113"/>
      <c r="L113" s="4" t="str">
        <f t="shared" si="12"/>
        <v/>
      </c>
      <c r="M113"/>
      <c r="N113" s="4" t="str">
        <f t="shared" si="13"/>
        <v/>
      </c>
      <c r="O113"/>
      <c r="P113" s="4" t="str">
        <f t="shared" si="14"/>
        <v/>
      </c>
      <c r="Q113"/>
      <c r="R113" s="18" t="str">
        <f t="shared" si="15"/>
        <v/>
      </c>
      <c r="S113"/>
      <c r="T113" s="4" t="str">
        <f t="shared" si="16"/>
        <v/>
      </c>
      <c r="U113"/>
      <c r="V113" s="4" t="str">
        <f t="shared" si="17"/>
        <v/>
      </c>
      <c r="W113"/>
      <c r="X113" s="4" t="str">
        <f t="shared" si="18"/>
        <v/>
      </c>
      <c r="Y113"/>
      <c r="Z113" s="4" t="str">
        <f t="shared" si="19"/>
        <v/>
      </c>
      <c r="AA113"/>
    </row>
    <row r="114" spans="1:27" x14ac:dyDescent="0.4">
      <c r="A114"/>
      <c r="B114"/>
      <c r="C114"/>
      <c r="D114"/>
      <c r="E114"/>
      <c r="G114"/>
      <c r="H114" s="4" t="str">
        <f t="shared" si="10"/>
        <v/>
      </c>
      <c r="I114"/>
      <c r="J114" s="4" t="str">
        <f t="shared" si="11"/>
        <v/>
      </c>
      <c r="K114"/>
      <c r="L114" s="4" t="str">
        <f t="shared" si="12"/>
        <v/>
      </c>
      <c r="M114"/>
      <c r="N114" s="4" t="str">
        <f t="shared" si="13"/>
        <v/>
      </c>
      <c r="O114"/>
      <c r="P114" s="4" t="str">
        <f t="shared" si="14"/>
        <v/>
      </c>
      <c r="Q114"/>
      <c r="R114" s="18" t="str">
        <f t="shared" si="15"/>
        <v/>
      </c>
      <c r="S114"/>
      <c r="T114" s="4" t="str">
        <f t="shared" si="16"/>
        <v/>
      </c>
      <c r="U114"/>
      <c r="V114" s="4" t="str">
        <f t="shared" si="17"/>
        <v/>
      </c>
      <c r="W114"/>
      <c r="X114" s="4" t="str">
        <f t="shared" si="18"/>
        <v/>
      </c>
      <c r="Y114"/>
      <c r="Z114" s="4" t="str">
        <f t="shared" si="19"/>
        <v/>
      </c>
      <c r="AA114"/>
    </row>
    <row r="115" spans="1:27" x14ac:dyDescent="0.4">
      <c r="A115"/>
      <c r="B115"/>
      <c r="C115"/>
      <c r="D115"/>
      <c r="E115"/>
      <c r="G115"/>
      <c r="H115" s="4" t="str">
        <f t="shared" si="10"/>
        <v/>
      </c>
      <c r="I115"/>
      <c r="J115" s="4" t="str">
        <f t="shared" si="11"/>
        <v/>
      </c>
      <c r="K115"/>
      <c r="L115" s="4" t="str">
        <f t="shared" si="12"/>
        <v/>
      </c>
      <c r="M115"/>
      <c r="N115" s="4" t="str">
        <f t="shared" si="13"/>
        <v/>
      </c>
      <c r="O115"/>
      <c r="P115" s="4" t="str">
        <f t="shared" si="14"/>
        <v/>
      </c>
      <c r="Q115"/>
      <c r="R115" s="18" t="str">
        <f t="shared" si="15"/>
        <v/>
      </c>
      <c r="S115"/>
      <c r="T115" s="4" t="str">
        <f t="shared" si="16"/>
        <v/>
      </c>
      <c r="U115"/>
      <c r="V115" s="4" t="str">
        <f t="shared" si="17"/>
        <v/>
      </c>
      <c r="W115"/>
      <c r="X115" s="4" t="str">
        <f t="shared" si="18"/>
        <v/>
      </c>
      <c r="Y115"/>
      <c r="Z115" s="4" t="str">
        <f t="shared" si="19"/>
        <v/>
      </c>
      <c r="AA115"/>
    </row>
    <row r="116" spans="1:27" x14ac:dyDescent="0.4">
      <c r="A116"/>
      <c r="B116"/>
      <c r="C116"/>
      <c r="D116"/>
      <c r="E116"/>
      <c r="G116"/>
      <c r="H116" s="4" t="str">
        <f t="shared" si="10"/>
        <v/>
      </c>
      <c r="I116"/>
      <c r="J116" s="4" t="str">
        <f t="shared" si="11"/>
        <v/>
      </c>
      <c r="K116"/>
      <c r="L116" s="4" t="str">
        <f t="shared" si="12"/>
        <v/>
      </c>
      <c r="M116"/>
      <c r="N116" s="4" t="str">
        <f t="shared" si="13"/>
        <v/>
      </c>
      <c r="O116"/>
      <c r="P116" s="4" t="str">
        <f t="shared" si="14"/>
        <v/>
      </c>
      <c r="Q116"/>
      <c r="R116" s="18" t="str">
        <f t="shared" si="15"/>
        <v/>
      </c>
      <c r="S116"/>
      <c r="T116" s="4" t="str">
        <f t="shared" si="16"/>
        <v/>
      </c>
      <c r="U116"/>
      <c r="V116" s="4" t="str">
        <f t="shared" si="17"/>
        <v/>
      </c>
      <c r="W116"/>
      <c r="X116" s="4" t="str">
        <f t="shared" si="18"/>
        <v/>
      </c>
      <c r="Y116"/>
      <c r="Z116" s="4" t="str">
        <f t="shared" si="19"/>
        <v/>
      </c>
      <c r="AA116"/>
    </row>
    <row r="117" spans="1:27" x14ac:dyDescent="0.4">
      <c r="A117"/>
      <c r="B117"/>
      <c r="C117"/>
      <c r="D117"/>
      <c r="E117"/>
      <c r="G117"/>
      <c r="H117" s="4" t="str">
        <f t="shared" si="10"/>
        <v/>
      </c>
      <c r="I117"/>
      <c r="J117" s="4" t="str">
        <f t="shared" si="11"/>
        <v/>
      </c>
      <c r="K117"/>
      <c r="L117" s="4" t="str">
        <f t="shared" si="12"/>
        <v/>
      </c>
      <c r="M117"/>
      <c r="N117" s="4" t="str">
        <f t="shared" si="13"/>
        <v/>
      </c>
      <c r="O117"/>
      <c r="P117" s="4" t="str">
        <f t="shared" si="14"/>
        <v/>
      </c>
      <c r="Q117"/>
      <c r="R117" s="18" t="str">
        <f t="shared" si="15"/>
        <v/>
      </c>
      <c r="S117"/>
      <c r="T117" s="4" t="str">
        <f t="shared" si="16"/>
        <v/>
      </c>
      <c r="U117"/>
      <c r="V117" s="4" t="str">
        <f t="shared" si="17"/>
        <v/>
      </c>
      <c r="W117"/>
      <c r="X117" s="4" t="str">
        <f t="shared" si="18"/>
        <v/>
      </c>
      <c r="Y117"/>
      <c r="Z117" s="4" t="str">
        <f t="shared" si="19"/>
        <v/>
      </c>
      <c r="AA117"/>
    </row>
    <row r="118" spans="1:27" x14ac:dyDescent="0.4">
      <c r="A118"/>
      <c r="B118"/>
      <c r="C118"/>
      <c r="D118"/>
      <c r="E118"/>
      <c r="G118"/>
      <c r="H118" s="4" t="str">
        <f t="shared" si="10"/>
        <v/>
      </c>
      <c r="I118"/>
      <c r="J118" s="4" t="str">
        <f t="shared" si="11"/>
        <v/>
      </c>
      <c r="K118"/>
      <c r="L118" s="4" t="str">
        <f t="shared" si="12"/>
        <v/>
      </c>
      <c r="M118"/>
      <c r="N118" s="4" t="str">
        <f t="shared" si="13"/>
        <v/>
      </c>
      <c r="O118"/>
      <c r="P118" s="4" t="str">
        <f t="shared" si="14"/>
        <v/>
      </c>
      <c r="Q118"/>
      <c r="R118" s="18" t="str">
        <f t="shared" si="15"/>
        <v/>
      </c>
      <c r="S118"/>
      <c r="T118" s="4" t="str">
        <f t="shared" si="16"/>
        <v/>
      </c>
      <c r="U118"/>
      <c r="V118" s="4" t="str">
        <f t="shared" si="17"/>
        <v/>
      </c>
      <c r="W118"/>
      <c r="X118" s="4" t="str">
        <f t="shared" si="18"/>
        <v/>
      </c>
      <c r="Y118"/>
      <c r="Z118" s="4" t="str">
        <f t="shared" si="19"/>
        <v/>
      </c>
      <c r="AA118"/>
    </row>
    <row r="119" spans="1:27" x14ac:dyDescent="0.4">
      <c r="A119"/>
      <c r="B119"/>
      <c r="C119"/>
      <c r="D119"/>
      <c r="E119"/>
      <c r="G119"/>
      <c r="H119" s="4" t="str">
        <f t="shared" si="10"/>
        <v/>
      </c>
      <c r="I119"/>
      <c r="J119" s="4" t="str">
        <f t="shared" si="11"/>
        <v/>
      </c>
      <c r="K119"/>
      <c r="L119" s="4" t="str">
        <f t="shared" si="12"/>
        <v/>
      </c>
      <c r="M119"/>
      <c r="N119" s="4" t="str">
        <f t="shared" si="13"/>
        <v/>
      </c>
      <c r="O119"/>
      <c r="P119" s="4" t="str">
        <f t="shared" si="14"/>
        <v/>
      </c>
      <c r="Q119"/>
      <c r="R119" s="18" t="str">
        <f t="shared" si="15"/>
        <v/>
      </c>
      <c r="S119"/>
      <c r="T119" s="4" t="str">
        <f t="shared" si="16"/>
        <v/>
      </c>
      <c r="U119"/>
      <c r="V119" s="4" t="str">
        <f t="shared" si="17"/>
        <v/>
      </c>
      <c r="W119"/>
      <c r="X119" s="4" t="str">
        <f t="shared" si="18"/>
        <v/>
      </c>
      <c r="Y119"/>
      <c r="Z119" s="4" t="str">
        <f t="shared" si="19"/>
        <v/>
      </c>
      <c r="AA119"/>
    </row>
    <row r="120" spans="1:27" x14ac:dyDescent="0.4">
      <c r="A120"/>
      <c r="B120"/>
      <c r="C120"/>
      <c r="D120"/>
      <c r="E120"/>
      <c r="G120"/>
      <c r="H120" s="4" t="str">
        <f t="shared" si="10"/>
        <v/>
      </c>
      <c r="I120"/>
      <c r="J120" s="4" t="str">
        <f t="shared" si="11"/>
        <v/>
      </c>
      <c r="K120"/>
      <c r="L120" s="4" t="str">
        <f t="shared" si="12"/>
        <v/>
      </c>
      <c r="M120"/>
      <c r="N120" s="4" t="str">
        <f t="shared" si="13"/>
        <v/>
      </c>
      <c r="O120"/>
      <c r="P120" s="4" t="str">
        <f t="shared" si="14"/>
        <v/>
      </c>
      <c r="Q120"/>
      <c r="R120" s="18" t="str">
        <f t="shared" si="15"/>
        <v/>
      </c>
      <c r="S120"/>
      <c r="T120" s="4" t="str">
        <f t="shared" si="16"/>
        <v/>
      </c>
      <c r="U120"/>
      <c r="V120" s="4" t="str">
        <f t="shared" si="17"/>
        <v/>
      </c>
      <c r="W120"/>
      <c r="X120" s="4" t="str">
        <f t="shared" si="18"/>
        <v/>
      </c>
      <c r="Y120"/>
      <c r="Z120" s="4" t="str">
        <f t="shared" si="19"/>
        <v/>
      </c>
      <c r="AA120"/>
    </row>
    <row r="121" spans="1:27" x14ac:dyDescent="0.4">
      <c r="A121"/>
      <c r="B121"/>
      <c r="C121"/>
      <c r="D121"/>
      <c r="E121"/>
      <c r="G121"/>
      <c r="H121" s="4" t="str">
        <f t="shared" si="10"/>
        <v/>
      </c>
      <c r="I121"/>
      <c r="J121" s="4" t="str">
        <f t="shared" si="11"/>
        <v/>
      </c>
      <c r="K121"/>
      <c r="L121" s="4" t="str">
        <f t="shared" si="12"/>
        <v/>
      </c>
      <c r="M121"/>
      <c r="N121" s="4" t="str">
        <f t="shared" si="13"/>
        <v/>
      </c>
      <c r="O121"/>
      <c r="P121" s="4" t="str">
        <f t="shared" si="14"/>
        <v/>
      </c>
      <c r="Q121"/>
      <c r="R121" s="18" t="str">
        <f t="shared" si="15"/>
        <v/>
      </c>
      <c r="S121"/>
      <c r="T121" s="4" t="str">
        <f t="shared" si="16"/>
        <v/>
      </c>
      <c r="U121"/>
      <c r="V121" s="4" t="str">
        <f t="shared" si="17"/>
        <v/>
      </c>
      <c r="W121"/>
      <c r="X121" s="4" t="str">
        <f t="shared" si="18"/>
        <v/>
      </c>
      <c r="Y121"/>
      <c r="Z121" s="4" t="str">
        <f t="shared" si="19"/>
        <v/>
      </c>
      <c r="AA121"/>
    </row>
    <row r="122" spans="1:27" x14ac:dyDescent="0.4">
      <c r="A122"/>
      <c r="B122"/>
      <c r="C122"/>
      <c r="D122"/>
      <c r="E122"/>
      <c r="G122"/>
      <c r="H122" s="4" t="str">
        <f t="shared" si="10"/>
        <v/>
      </c>
      <c r="I122"/>
      <c r="J122" s="4" t="str">
        <f t="shared" si="11"/>
        <v/>
      </c>
      <c r="K122"/>
      <c r="L122" s="4" t="str">
        <f t="shared" si="12"/>
        <v/>
      </c>
      <c r="M122"/>
      <c r="N122" s="4" t="str">
        <f t="shared" si="13"/>
        <v/>
      </c>
      <c r="O122"/>
      <c r="P122" s="4" t="str">
        <f t="shared" si="14"/>
        <v/>
      </c>
      <c r="Q122"/>
      <c r="R122" s="18" t="str">
        <f t="shared" si="15"/>
        <v/>
      </c>
      <c r="S122"/>
      <c r="T122" s="4" t="str">
        <f t="shared" si="16"/>
        <v/>
      </c>
      <c r="U122"/>
      <c r="V122" s="4" t="str">
        <f t="shared" si="17"/>
        <v/>
      </c>
      <c r="W122"/>
      <c r="X122" s="4" t="str">
        <f t="shared" si="18"/>
        <v/>
      </c>
      <c r="Y122"/>
      <c r="Z122" s="4" t="str">
        <f t="shared" si="19"/>
        <v/>
      </c>
      <c r="AA122"/>
    </row>
    <row r="123" spans="1:27" x14ac:dyDescent="0.4">
      <c r="A123"/>
      <c r="B123"/>
      <c r="C123"/>
      <c r="D123"/>
      <c r="E123"/>
      <c r="G123"/>
      <c r="H123" s="4" t="str">
        <f t="shared" si="10"/>
        <v/>
      </c>
      <c r="I123"/>
      <c r="J123" s="4" t="str">
        <f t="shared" si="11"/>
        <v/>
      </c>
      <c r="K123"/>
      <c r="L123" s="4" t="str">
        <f t="shared" si="12"/>
        <v/>
      </c>
      <c r="M123"/>
      <c r="N123" s="4" t="str">
        <f t="shared" si="13"/>
        <v/>
      </c>
      <c r="O123"/>
      <c r="P123" s="4" t="str">
        <f t="shared" si="14"/>
        <v/>
      </c>
      <c r="Q123"/>
      <c r="R123" s="18" t="str">
        <f t="shared" si="15"/>
        <v/>
      </c>
      <c r="S123"/>
      <c r="T123" s="4" t="str">
        <f t="shared" si="16"/>
        <v/>
      </c>
      <c r="U123"/>
      <c r="V123" s="4" t="str">
        <f t="shared" si="17"/>
        <v/>
      </c>
      <c r="W123"/>
      <c r="X123" s="4" t="str">
        <f t="shared" si="18"/>
        <v/>
      </c>
      <c r="Y123"/>
      <c r="Z123" s="4" t="str">
        <f t="shared" si="19"/>
        <v/>
      </c>
      <c r="AA123"/>
    </row>
    <row r="124" spans="1:27" x14ac:dyDescent="0.4">
      <c r="A124"/>
      <c r="B124"/>
      <c r="C124"/>
      <c r="D124"/>
      <c r="E124"/>
      <c r="G124"/>
      <c r="H124" s="4" t="str">
        <f t="shared" si="10"/>
        <v/>
      </c>
      <c r="I124"/>
      <c r="J124" s="4" t="str">
        <f t="shared" si="11"/>
        <v/>
      </c>
      <c r="K124"/>
      <c r="L124" s="4" t="str">
        <f t="shared" si="12"/>
        <v/>
      </c>
      <c r="M124"/>
      <c r="N124" s="4" t="str">
        <f t="shared" si="13"/>
        <v/>
      </c>
      <c r="O124"/>
      <c r="P124" s="4" t="str">
        <f t="shared" si="14"/>
        <v/>
      </c>
      <c r="Q124"/>
      <c r="R124" s="18" t="str">
        <f t="shared" si="15"/>
        <v/>
      </c>
      <c r="S124"/>
      <c r="T124" s="4" t="str">
        <f t="shared" si="16"/>
        <v/>
      </c>
      <c r="U124"/>
      <c r="V124" s="4" t="str">
        <f t="shared" si="17"/>
        <v/>
      </c>
      <c r="W124"/>
      <c r="X124" s="4" t="str">
        <f t="shared" si="18"/>
        <v/>
      </c>
      <c r="Y124"/>
      <c r="Z124" s="4" t="str">
        <f t="shared" si="19"/>
        <v/>
      </c>
      <c r="AA124"/>
    </row>
    <row r="125" spans="1:27" x14ac:dyDescent="0.4">
      <c r="A125"/>
      <c r="B125"/>
      <c r="C125"/>
      <c r="D125"/>
      <c r="E125"/>
      <c r="G125"/>
      <c r="H125" s="4" t="str">
        <f t="shared" si="10"/>
        <v/>
      </c>
      <c r="I125"/>
      <c r="J125" s="4" t="str">
        <f t="shared" si="11"/>
        <v/>
      </c>
      <c r="K125"/>
      <c r="L125" s="4" t="str">
        <f t="shared" si="12"/>
        <v/>
      </c>
      <c r="M125"/>
      <c r="N125" s="4" t="str">
        <f t="shared" si="13"/>
        <v/>
      </c>
      <c r="O125"/>
      <c r="P125" s="4" t="str">
        <f t="shared" si="14"/>
        <v/>
      </c>
      <c r="Q125"/>
      <c r="R125" s="18" t="str">
        <f t="shared" si="15"/>
        <v/>
      </c>
      <c r="S125"/>
      <c r="T125" s="4" t="str">
        <f t="shared" si="16"/>
        <v/>
      </c>
      <c r="U125"/>
      <c r="V125" s="4" t="str">
        <f t="shared" si="17"/>
        <v/>
      </c>
      <c r="W125"/>
      <c r="X125" s="4" t="str">
        <f t="shared" si="18"/>
        <v/>
      </c>
      <c r="Y125"/>
      <c r="Z125" s="4" t="str">
        <f t="shared" si="19"/>
        <v/>
      </c>
      <c r="AA125"/>
    </row>
    <row r="126" spans="1:27" x14ac:dyDescent="0.4">
      <c r="A126"/>
      <c r="B126"/>
      <c r="C126"/>
      <c r="D126"/>
      <c r="E126"/>
      <c r="G126"/>
      <c r="H126" s="4" t="str">
        <f t="shared" si="10"/>
        <v/>
      </c>
      <c r="I126"/>
      <c r="J126" s="4" t="str">
        <f t="shared" si="11"/>
        <v/>
      </c>
      <c r="K126"/>
      <c r="L126" s="4" t="str">
        <f t="shared" si="12"/>
        <v/>
      </c>
      <c r="M126"/>
      <c r="N126" s="4" t="str">
        <f t="shared" si="13"/>
        <v/>
      </c>
      <c r="O126"/>
      <c r="P126" s="4" t="str">
        <f t="shared" si="14"/>
        <v/>
      </c>
      <c r="Q126"/>
      <c r="R126" s="18" t="str">
        <f t="shared" si="15"/>
        <v/>
      </c>
      <c r="S126"/>
      <c r="T126" s="4" t="str">
        <f t="shared" si="16"/>
        <v/>
      </c>
      <c r="U126"/>
      <c r="V126" s="4" t="str">
        <f t="shared" si="17"/>
        <v/>
      </c>
      <c r="W126"/>
      <c r="X126" s="4" t="str">
        <f t="shared" si="18"/>
        <v/>
      </c>
      <c r="Y126"/>
      <c r="Z126" s="4" t="str">
        <f t="shared" si="19"/>
        <v/>
      </c>
      <c r="AA126"/>
    </row>
    <row r="127" spans="1:27" x14ac:dyDescent="0.4">
      <c r="A127"/>
      <c r="B127"/>
      <c r="C127"/>
      <c r="D127"/>
      <c r="E127"/>
      <c r="G127"/>
      <c r="H127" s="4" t="str">
        <f t="shared" si="10"/>
        <v/>
      </c>
      <c r="I127"/>
      <c r="J127" s="4" t="str">
        <f t="shared" si="11"/>
        <v/>
      </c>
      <c r="K127"/>
      <c r="L127" s="4" t="str">
        <f t="shared" si="12"/>
        <v/>
      </c>
      <c r="M127"/>
      <c r="N127" s="4" t="str">
        <f t="shared" si="13"/>
        <v/>
      </c>
      <c r="O127"/>
      <c r="P127" s="4" t="str">
        <f t="shared" si="14"/>
        <v/>
      </c>
      <c r="Q127"/>
      <c r="R127" s="18" t="str">
        <f t="shared" si="15"/>
        <v/>
      </c>
      <c r="S127"/>
      <c r="T127" s="4" t="str">
        <f t="shared" si="16"/>
        <v/>
      </c>
      <c r="U127"/>
      <c r="V127" s="4" t="str">
        <f t="shared" si="17"/>
        <v/>
      </c>
      <c r="W127"/>
      <c r="X127" s="4" t="str">
        <f t="shared" si="18"/>
        <v/>
      </c>
      <c r="Y127"/>
      <c r="Z127" s="4" t="str">
        <f t="shared" si="19"/>
        <v/>
      </c>
      <c r="AA127"/>
    </row>
    <row r="128" spans="1:27" x14ac:dyDescent="0.4">
      <c r="A128"/>
      <c r="B128"/>
      <c r="C128"/>
      <c r="D128"/>
      <c r="E128"/>
      <c r="G128"/>
      <c r="H128" s="4" t="str">
        <f t="shared" si="10"/>
        <v/>
      </c>
      <c r="I128"/>
      <c r="J128" s="4" t="str">
        <f t="shared" si="11"/>
        <v/>
      </c>
      <c r="K128"/>
      <c r="L128" s="4" t="str">
        <f t="shared" si="12"/>
        <v/>
      </c>
      <c r="M128"/>
      <c r="N128" s="4" t="str">
        <f t="shared" si="13"/>
        <v/>
      </c>
      <c r="O128"/>
      <c r="P128" s="4" t="str">
        <f t="shared" si="14"/>
        <v/>
      </c>
      <c r="Q128"/>
      <c r="R128" s="18" t="str">
        <f t="shared" si="15"/>
        <v/>
      </c>
      <c r="S128"/>
      <c r="T128" s="4" t="str">
        <f t="shared" si="16"/>
        <v/>
      </c>
      <c r="U128"/>
      <c r="V128" s="4" t="str">
        <f t="shared" si="17"/>
        <v/>
      </c>
      <c r="W128"/>
      <c r="X128" s="4" t="str">
        <f t="shared" si="18"/>
        <v/>
      </c>
      <c r="Y128"/>
      <c r="Z128" s="4" t="str">
        <f t="shared" si="19"/>
        <v/>
      </c>
      <c r="AA128"/>
    </row>
    <row r="129" spans="1:27" x14ac:dyDescent="0.4">
      <c r="A129"/>
      <c r="B129"/>
      <c r="C129"/>
      <c r="D129"/>
      <c r="E129"/>
      <c r="G129"/>
      <c r="H129" s="4" t="str">
        <f t="shared" si="10"/>
        <v/>
      </c>
      <c r="I129"/>
      <c r="J129" s="4" t="str">
        <f t="shared" si="11"/>
        <v/>
      </c>
      <c r="K129"/>
      <c r="L129" s="4" t="str">
        <f t="shared" si="12"/>
        <v/>
      </c>
      <c r="M129"/>
      <c r="N129" s="4" t="str">
        <f t="shared" si="13"/>
        <v/>
      </c>
      <c r="O129"/>
      <c r="P129" s="4" t="str">
        <f t="shared" si="14"/>
        <v/>
      </c>
      <c r="Q129"/>
      <c r="R129" s="18" t="str">
        <f t="shared" si="15"/>
        <v/>
      </c>
      <c r="S129"/>
      <c r="T129" s="4" t="str">
        <f t="shared" si="16"/>
        <v/>
      </c>
      <c r="U129"/>
      <c r="V129" s="4" t="str">
        <f t="shared" si="17"/>
        <v/>
      </c>
      <c r="W129"/>
      <c r="X129" s="4" t="str">
        <f t="shared" si="18"/>
        <v/>
      </c>
      <c r="Y129"/>
      <c r="Z129" s="4" t="str">
        <f t="shared" si="19"/>
        <v/>
      </c>
      <c r="AA129"/>
    </row>
    <row r="130" spans="1:27" x14ac:dyDescent="0.4">
      <c r="A130"/>
      <c r="B130"/>
      <c r="C130"/>
      <c r="D130"/>
      <c r="E130"/>
      <c r="G130"/>
      <c r="H130" s="4" t="str">
        <f t="shared" si="10"/>
        <v/>
      </c>
      <c r="I130"/>
      <c r="J130" s="4" t="str">
        <f t="shared" si="11"/>
        <v/>
      </c>
      <c r="K130"/>
      <c r="L130" s="4" t="str">
        <f t="shared" si="12"/>
        <v/>
      </c>
      <c r="M130"/>
      <c r="N130" s="4" t="str">
        <f t="shared" si="13"/>
        <v/>
      </c>
      <c r="O130"/>
      <c r="P130" s="4" t="str">
        <f t="shared" si="14"/>
        <v/>
      </c>
      <c r="Q130"/>
      <c r="R130" s="18" t="str">
        <f t="shared" si="15"/>
        <v/>
      </c>
      <c r="S130"/>
      <c r="T130" s="4" t="str">
        <f t="shared" si="16"/>
        <v/>
      </c>
      <c r="U130"/>
      <c r="V130" s="4" t="str">
        <f t="shared" si="17"/>
        <v/>
      </c>
      <c r="W130"/>
      <c r="X130" s="4" t="str">
        <f t="shared" si="18"/>
        <v/>
      </c>
      <c r="Y130"/>
      <c r="Z130" s="4" t="str">
        <f t="shared" si="19"/>
        <v/>
      </c>
      <c r="AA130"/>
    </row>
    <row r="131" spans="1:27" x14ac:dyDescent="0.4">
      <c r="A131"/>
      <c r="B131"/>
      <c r="C131"/>
      <c r="D131"/>
      <c r="E131"/>
      <c r="G131"/>
      <c r="H131" s="4" t="str">
        <f t="shared" si="10"/>
        <v/>
      </c>
      <c r="I131"/>
      <c r="J131" s="4" t="str">
        <f t="shared" si="11"/>
        <v/>
      </c>
      <c r="K131"/>
      <c r="L131" s="4" t="str">
        <f t="shared" si="12"/>
        <v/>
      </c>
      <c r="M131"/>
      <c r="N131" s="4" t="str">
        <f t="shared" si="13"/>
        <v/>
      </c>
      <c r="O131"/>
      <c r="P131" s="4" t="str">
        <f t="shared" si="14"/>
        <v/>
      </c>
      <c r="Q131"/>
      <c r="R131" s="18" t="str">
        <f t="shared" si="15"/>
        <v/>
      </c>
      <c r="S131"/>
      <c r="T131" s="4" t="str">
        <f t="shared" si="16"/>
        <v/>
      </c>
      <c r="U131"/>
      <c r="V131" s="4" t="str">
        <f t="shared" si="17"/>
        <v/>
      </c>
      <c r="W131"/>
      <c r="X131" s="4" t="str">
        <f t="shared" si="18"/>
        <v/>
      </c>
      <c r="Y131"/>
      <c r="Z131" s="4" t="str">
        <f t="shared" si="19"/>
        <v/>
      </c>
      <c r="AA131"/>
    </row>
    <row r="132" spans="1:27" x14ac:dyDescent="0.4">
      <c r="A132"/>
      <c r="B132"/>
      <c r="C132"/>
      <c r="D132"/>
      <c r="E132"/>
      <c r="G132"/>
      <c r="H132" s="4" t="str">
        <f t="shared" si="10"/>
        <v/>
      </c>
      <c r="I132"/>
      <c r="J132" s="4" t="str">
        <f t="shared" si="11"/>
        <v/>
      </c>
      <c r="K132"/>
      <c r="L132" s="4" t="str">
        <f t="shared" si="12"/>
        <v/>
      </c>
      <c r="M132"/>
      <c r="N132" s="4" t="str">
        <f t="shared" si="13"/>
        <v/>
      </c>
      <c r="O132"/>
      <c r="P132" s="4" t="str">
        <f t="shared" si="14"/>
        <v/>
      </c>
      <c r="Q132"/>
      <c r="R132" s="18" t="str">
        <f t="shared" si="15"/>
        <v/>
      </c>
      <c r="S132"/>
      <c r="T132" s="4" t="str">
        <f t="shared" si="16"/>
        <v/>
      </c>
      <c r="U132"/>
      <c r="V132" s="4" t="str">
        <f t="shared" si="17"/>
        <v/>
      </c>
      <c r="W132"/>
      <c r="X132" s="4" t="str">
        <f t="shared" si="18"/>
        <v/>
      </c>
      <c r="Y132"/>
      <c r="Z132" s="4" t="str">
        <f t="shared" si="19"/>
        <v/>
      </c>
      <c r="AA132"/>
    </row>
    <row r="133" spans="1:27" x14ac:dyDescent="0.4">
      <c r="A133"/>
      <c r="B133"/>
      <c r="C133"/>
      <c r="D133"/>
      <c r="E133"/>
      <c r="G133"/>
      <c r="H133" s="4" t="str">
        <f t="shared" si="10"/>
        <v/>
      </c>
      <c r="I133"/>
      <c r="J133" s="4" t="str">
        <f t="shared" si="11"/>
        <v/>
      </c>
      <c r="K133"/>
      <c r="L133" s="4" t="str">
        <f t="shared" si="12"/>
        <v/>
      </c>
      <c r="M133"/>
      <c r="N133" s="4" t="str">
        <f t="shared" si="13"/>
        <v/>
      </c>
      <c r="O133"/>
      <c r="P133" s="4" t="str">
        <f t="shared" si="14"/>
        <v/>
      </c>
      <c r="Q133"/>
      <c r="R133" s="18" t="str">
        <f t="shared" si="15"/>
        <v/>
      </c>
      <c r="S133"/>
      <c r="T133" s="4" t="str">
        <f t="shared" si="16"/>
        <v/>
      </c>
      <c r="U133"/>
      <c r="V133" s="4" t="str">
        <f t="shared" si="17"/>
        <v/>
      </c>
      <c r="W133"/>
      <c r="X133" s="4" t="str">
        <f t="shared" si="18"/>
        <v/>
      </c>
      <c r="Y133"/>
      <c r="Z133" s="4" t="str">
        <f t="shared" si="19"/>
        <v/>
      </c>
      <c r="AA133"/>
    </row>
    <row r="134" spans="1:27" x14ac:dyDescent="0.4">
      <c r="A134"/>
      <c r="B134"/>
      <c r="C134"/>
      <c r="D134"/>
      <c r="E134"/>
      <c r="G134"/>
      <c r="H134" s="4" t="str">
        <f t="shared" si="10"/>
        <v/>
      </c>
      <c r="I134"/>
      <c r="J134" s="4" t="str">
        <f t="shared" si="11"/>
        <v/>
      </c>
      <c r="K134"/>
      <c r="L134" s="4" t="str">
        <f t="shared" si="12"/>
        <v/>
      </c>
      <c r="M134"/>
      <c r="N134" s="4" t="str">
        <f t="shared" si="13"/>
        <v/>
      </c>
      <c r="O134"/>
      <c r="P134" s="4" t="str">
        <f t="shared" si="14"/>
        <v/>
      </c>
      <c r="Q134"/>
      <c r="R134" s="18" t="str">
        <f t="shared" si="15"/>
        <v/>
      </c>
      <c r="S134"/>
      <c r="T134" s="4" t="str">
        <f t="shared" si="16"/>
        <v/>
      </c>
      <c r="U134"/>
      <c r="V134" s="4" t="str">
        <f t="shared" si="17"/>
        <v/>
      </c>
      <c r="W134"/>
      <c r="X134" s="4" t="str">
        <f t="shared" si="18"/>
        <v/>
      </c>
      <c r="Y134"/>
      <c r="Z134" s="4" t="str">
        <f t="shared" si="19"/>
        <v/>
      </c>
      <c r="AA134"/>
    </row>
    <row r="135" spans="1:27" x14ac:dyDescent="0.4">
      <c r="A135"/>
      <c r="B135"/>
      <c r="C135"/>
      <c r="D135"/>
      <c r="E135"/>
      <c r="G135"/>
      <c r="H135" s="4" t="str">
        <f t="shared" si="10"/>
        <v/>
      </c>
      <c r="I135"/>
      <c r="J135" s="4" t="str">
        <f t="shared" si="11"/>
        <v/>
      </c>
      <c r="K135"/>
      <c r="L135" s="4" t="str">
        <f t="shared" si="12"/>
        <v/>
      </c>
      <c r="M135"/>
      <c r="N135" s="4" t="str">
        <f t="shared" si="13"/>
        <v/>
      </c>
      <c r="O135"/>
      <c r="P135" s="4" t="str">
        <f t="shared" si="14"/>
        <v/>
      </c>
      <c r="Q135"/>
      <c r="R135" s="18" t="str">
        <f t="shared" si="15"/>
        <v/>
      </c>
      <c r="S135"/>
      <c r="T135" s="4" t="str">
        <f t="shared" si="16"/>
        <v/>
      </c>
      <c r="U135"/>
      <c r="V135" s="4" t="str">
        <f t="shared" si="17"/>
        <v/>
      </c>
      <c r="W135"/>
      <c r="X135" s="4" t="str">
        <f t="shared" si="18"/>
        <v/>
      </c>
      <c r="Y135"/>
      <c r="Z135" s="4" t="str">
        <f t="shared" si="19"/>
        <v/>
      </c>
      <c r="AA135"/>
    </row>
    <row r="136" spans="1:27" x14ac:dyDescent="0.4">
      <c r="A136"/>
      <c r="B136"/>
      <c r="C136"/>
      <c r="D136"/>
      <c r="E136"/>
      <c r="G136"/>
      <c r="H136" s="4" t="str">
        <f t="shared" si="10"/>
        <v/>
      </c>
      <c r="I136"/>
      <c r="J136" s="4" t="str">
        <f t="shared" si="11"/>
        <v/>
      </c>
      <c r="K136"/>
      <c r="L136" s="4" t="str">
        <f t="shared" si="12"/>
        <v/>
      </c>
      <c r="M136"/>
      <c r="N136" s="4" t="str">
        <f t="shared" si="13"/>
        <v/>
      </c>
      <c r="O136"/>
      <c r="P136" s="4" t="str">
        <f t="shared" si="14"/>
        <v/>
      </c>
      <c r="Q136"/>
      <c r="R136" s="18" t="str">
        <f t="shared" si="15"/>
        <v/>
      </c>
      <c r="S136"/>
      <c r="T136" s="4" t="str">
        <f t="shared" si="16"/>
        <v/>
      </c>
      <c r="U136"/>
      <c r="V136" s="4" t="str">
        <f t="shared" si="17"/>
        <v/>
      </c>
      <c r="W136"/>
      <c r="X136" s="4" t="str">
        <f t="shared" si="18"/>
        <v/>
      </c>
      <c r="Y136"/>
      <c r="Z136" s="4" t="str">
        <f t="shared" si="19"/>
        <v/>
      </c>
      <c r="AA136"/>
    </row>
    <row r="137" spans="1:27" x14ac:dyDescent="0.4">
      <c r="A137"/>
      <c r="B137"/>
      <c r="C137"/>
      <c r="D137"/>
      <c r="E137"/>
      <c r="G137"/>
      <c r="H137" s="4" t="str">
        <f t="shared" si="10"/>
        <v/>
      </c>
      <c r="I137"/>
      <c r="J137" s="4" t="str">
        <f t="shared" si="11"/>
        <v/>
      </c>
      <c r="K137"/>
      <c r="L137" s="4" t="str">
        <f t="shared" si="12"/>
        <v/>
      </c>
      <c r="M137"/>
      <c r="N137" s="4" t="str">
        <f t="shared" si="13"/>
        <v/>
      </c>
      <c r="O137"/>
      <c r="P137" s="4" t="str">
        <f t="shared" si="14"/>
        <v/>
      </c>
      <c r="Q137"/>
      <c r="R137" s="18" t="str">
        <f t="shared" si="15"/>
        <v/>
      </c>
      <c r="S137"/>
      <c r="T137" s="4" t="str">
        <f t="shared" si="16"/>
        <v/>
      </c>
      <c r="U137"/>
      <c r="V137" s="4" t="str">
        <f t="shared" si="17"/>
        <v/>
      </c>
      <c r="W137"/>
      <c r="X137" s="4" t="str">
        <f t="shared" si="18"/>
        <v/>
      </c>
      <c r="Y137"/>
      <c r="Z137" s="4" t="str">
        <f t="shared" si="19"/>
        <v/>
      </c>
      <c r="AA137"/>
    </row>
    <row r="138" spans="1:27" x14ac:dyDescent="0.4">
      <c r="A138"/>
      <c r="B138"/>
      <c r="C138"/>
      <c r="D138"/>
      <c r="E138"/>
      <c r="G138"/>
      <c r="H138" s="4" t="str">
        <f t="shared" si="10"/>
        <v/>
      </c>
      <c r="I138"/>
      <c r="J138" s="4" t="str">
        <f t="shared" si="11"/>
        <v/>
      </c>
      <c r="K138"/>
      <c r="L138" s="4" t="str">
        <f t="shared" si="12"/>
        <v/>
      </c>
      <c r="M138"/>
      <c r="N138" s="4" t="str">
        <f t="shared" si="13"/>
        <v/>
      </c>
      <c r="O138"/>
      <c r="P138" s="4" t="str">
        <f t="shared" si="14"/>
        <v/>
      </c>
      <c r="Q138"/>
      <c r="R138" s="18" t="str">
        <f t="shared" si="15"/>
        <v/>
      </c>
      <c r="S138"/>
      <c r="T138" s="4" t="str">
        <f t="shared" si="16"/>
        <v/>
      </c>
      <c r="U138"/>
      <c r="V138" s="4" t="str">
        <f t="shared" si="17"/>
        <v/>
      </c>
      <c r="W138"/>
      <c r="X138" s="4" t="str">
        <f t="shared" si="18"/>
        <v/>
      </c>
      <c r="Y138"/>
      <c r="Z138" s="4" t="str">
        <f t="shared" si="19"/>
        <v/>
      </c>
      <c r="AA138"/>
    </row>
    <row r="139" spans="1:27" x14ac:dyDescent="0.4">
      <c r="A139"/>
      <c r="B139"/>
      <c r="C139"/>
      <c r="D139"/>
      <c r="E139"/>
      <c r="G139"/>
      <c r="H139" s="4" t="str">
        <f t="shared" si="10"/>
        <v/>
      </c>
      <c r="I139"/>
      <c r="J139" s="4" t="str">
        <f t="shared" si="11"/>
        <v/>
      </c>
      <c r="K139"/>
      <c r="L139" s="4" t="str">
        <f t="shared" si="12"/>
        <v/>
      </c>
      <c r="M139"/>
      <c r="N139" s="4" t="str">
        <f t="shared" si="13"/>
        <v/>
      </c>
      <c r="O139"/>
      <c r="P139" s="4" t="str">
        <f t="shared" si="14"/>
        <v/>
      </c>
      <c r="Q139"/>
      <c r="R139" s="18" t="str">
        <f t="shared" si="15"/>
        <v/>
      </c>
      <c r="S139"/>
      <c r="T139" s="4" t="str">
        <f t="shared" si="16"/>
        <v/>
      </c>
      <c r="U139"/>
      <c r="V139" s="4" t="str">
        <f t="shared" si="17"/>
        <v/>
      </c>
      <c r="W139"/>
      <c r="X139" s="4" t="str">
        <f t="shared" si="18"/>
        <v/>
      </c>
      <c r="Y139"/>
      <c r="Z139" s="4" t="str">
        <f t="shared" si="19"/>
        <v/>
      </c>
      <c r="AA139"/>
    </row>
    <row r="140" spans="1:27" x14ac:dyDescent="0.4">
      <c r="A140"/>
      <c r="B140"/>
      <c r="C140"/>
      <c r="D140"/>
      <c r="E140"/>
      <c r="G140"/>
      <c r="H140" s="4" t="str">
        <f t="shared" ref="H140:H203" si="20">IF(G140="", "", IF(G140="非常に満足", 100, IF(G140="やや満足", 75, IF(G140="どちらともいえない", 50, IF(G140="やや不満", 25, IF(G140="非常に不満", 0, ""))))))</f>
        <v/>
      </c>
      <c r="I140"/>
      <c r="J140" s="4" t="str">
        <f t="shared" ref="J140:J203" si="21">IF(I140="", "", IF(I140="非常に満足", 100, IF(I140="やや満足", 75, IF(I140="どちらともいえない", 50, IF(I140="やや不満", 25, IF(I140="非常に不満", 0, ""))))))</f>
        <v/>
      </c>
      <c r="K140"/>
      <c r="L140" s="4" t="str">
        <f t="shared" ref="L140:L203" si="22">IF(K140="", "", IF(K140="非常に満足", 100, IF(K140="やや満足", 75, IF(K140="どちらともいえない", 50, IF(K140="やや不満", 25, IF(K140="非常に不満", 0, ""))))))</f>
        <v/>
      </c>
      <c r="M140"/>
      <c r="N140" s="4" t="str">
        <f t="shared" ref="N140:N203" si="23">IF(M140="", "", IF(M140="非常に満足", 100, IF(M140="やや満足", 75, IF(M140="どちらともいえない", 50, IF(M140="やや不満", 25, IF(M140="非常に不満", 0, ""))))))</f>
        <v/>
      </c>
      <c r="O140"/>
      <c r="P140" s="4" t="str">
        <f t="shared" ref="P140:P203" si="24">IF(O140="", "", IF(O140="非常に満足", 100, IF(O140="やや満足", 75, IF(O140="どちらともいえない", 50, IF(O140="やや不満", 25, IF(O140="非常に不満", 0, ""))))))</f>
        <v/>
      </c>
      <c r="Q140"/>
      <c r="R140" s="18" t="str">
        <f t="shared" ref="R140:R203" si="25">IF(Q140="", "", IF(Q140="非常に重要である", 100, IF(Q140="やや重要である", 75, IF(Q140="どちらともいえない", 50, IF(Q140="あまり重要でない", 25, IF(Q140="全く重要でない", 0, ""))))))</f>
        <v/>
      </c>
      <c r="S140"/>
      <c r="T140" s="4" t="str">
        <f t="shared" ref="T140:T203" si="26">IF(S140="", "", IF(S140="非常に重要である", 100, IF(S140="やや重要である", 75, IF(S140="どちらともいえない", 50, IF(S140="あまり重要でない", 25, IF(S140="全く重要でない", 0, ""))))))</f>
        <v/>
      </c>
      <c r="U140"/>
      <c r="V140" s="4" t="str">
        <f t="shared" ref="V140:V203" si="27">IF(U140="", "", IF(U140="非常に重要である", 100, IF(U140="やや重要である", 75, IF(U140="どちらともいえない", 50, IF(U140="あまり重要でない", 25, IF(U140="全く重要でない", 0, ""))))))</f>
        <v/>
      </c>
      <c r="W140"/>
      <c r="X140" s="4" t="str">
        <f t="shared" ref="X140:X203" si="28">IF(W140="", "", IF(W140="非常に重要である", 100, IF(W140="やや重要である", 75, IF(W140="どちらともいえない", 50, IF(W140="あまり重要でない", 25, IF(W140="全く重要でない", 0, ""))))))</f>
        <v/>
      </c>
      <c r="Y140"/>
      <c r="Z140" s="4" t="str">
        <f t="shared" ref="Z140:Z203" si="29">IF(Y140="", "", IF(Y140="ぜひ利用したい", 100, IF(Y140="まあ利用したい", 66.6, IF(Y140="どちらともいえない", 33.3, IF(Y140="あまり利用したくない", 0, IF(Y140="全く利用したくない", 0, ""))))))</f>
        <v/>
      </c>
      <c r="AA140"/>
    </row>
    <row r="141" spans="1:27" x14ac:dyDescent="0.4">
      <c r="A141"/>
      <c r="B141"/>
      <c r="C141"/>
      <c r="D141"/>
      <c r="E141"/>
      <c r="G141"/>
      <c r="H141" s="4" t="str">
        <f t="shared" si="20"/>
        <v/>
      </c>
      <c r="I141"/>
      <c r="J141" s="4" t="str">
        <f t="shared" si="21"/>
        <v/>
      </c>
      <c r="K141"/>
      <c r="L141" s="4" t="str">
        <f t="shared" si="22"/>
        <v/>
      </c>
      <c r="M141"/>
      <c r="N141" s="4" t="str">
        <f t="shared" si="23"/>
        <v/>
      </c>
      <c r="O141"/>
      <c r="P141" s="4" t="str">
        <f t="shared" si="24"/>
        <v/>
      </c>
      <c r="Q141"/>
      <c r="R141" s="18" t="str">
        <f t="shared" si="25"/>
        <v/>
      </c>
      <c r="S141"/>
      <c r="T141" s="4" t="str">
        <f t="shared" si="26"/>
        <v/>
      </c>
      <c r="U141"/>
      <c r="V141" s="4" t="str">
        <f t="shared" si="27"/>
        <v/>
      </c>
      <c r="W141"/>
      <c r="X141" s="4" t="str">
        <f t="shared" si="28"/>
        <v/>
      </c>
      <c r="Y141"/>
      <c r="Z141" s="4" t="str">
        <f t="shared" si="29"/>
        <v/>
      </c>
      <c r="AA141"/>
    </row>
    <row r="142" spans="1:27" x14ac:dyDescent="0.4">
      <c r="A142"/>
      <c r="B142"/>
      <c r="C142"/>
      <c r="D142"/>
      <c r="E142"/>
      <c r="G142"/>
      <c r="H142" s="4" t="str">
        <f t="shared" si="20"/>
        <v/>
      </c>
      <c r="I142"/>
      <c r="J142" s="4" t="str">
        <f t="shared" si="21"/>
        <v/>
      </c>
      <c r="K142"/>
      <c r="L142" s="4" t="str">
        <f t="shared" si="22"/>
        <v/>
      </c>
      <c r="M142"/>
      <c r="N142" s="4" t="str">
        <f t="shared" si="23"/>
        <v/>
      </c>
      <c r="O142"/>
      <c r="P142" s="4" t="str">
        <f t="shared" si="24"/>
        <v/>
      </c>
      <c r="Q142"/>
      <c r="R142" s="18" t="str">
        <f t="shared" si="25"/>
        <v/>
      </c>
      <c r="S142"/>
      <c r="T142" s="4" t="str">
        <f t="shared" si="26"/>
        <v/>
      </c>
      <c r="U142"/>
      <c r="V142" s="4" t="str">
        <f t="shared" si="27"/>
        <v/>
      </c>
      <c r="W142"/>
      <c r="X142" s="4" t="str">
        <f t="shared" si="28"/>
        <v/>
      </c>
      <c r="Y142"/>
      <c r="Z142" s="4" t="str">
        <f t="shared" si="29"/>
        <v/>
      </c>
      <c r="AA142"/>
    </row>
    <row r="143" spans="1:27" x14ac:dyDescent="0.4">
      <c r="A143"/>
      <c r="B143"/>
      <c r="C143"/>
      <c r="D143"/>
      <c r="E143"/>
      <c r="G143"/>
      <c r="H143" s="4" t="str">
        <f t="shared" si="20"/>
        <v/>
      </c>
      <c r="I143"/>
      <c r="J143" s="4" t="str">
        <f t="shared" si="21"/>
        <v/>
      </c>
      <c r="K143"/>
      <c r="L143" s="4" t="str">
        <f t="shared" si="22"/>
        <v/>
      </c>
      <c r="M143"/>
      <c r="N143" s="4" t="str">
        <f t="shared" si="23"/>
        <v/>
      </c>
      <c r="O143"/>
      <c r="P143" s="4" t="str">
        <f t="shared" si="24"/>
        <v/>
      </c>
      <c r="Q143"/>
      <c r="R143" s="18" t="str">
        <f t="shared" si="25"/>
        <v/>
      </c>
      <c r="S143"/>
      <c r="T143" s="4" t="str">
        <f t="shared" si="26"/>
        <v/>
      </c>
      <c r="U143"/>
      <c r="V143" s="4" t="str">
        <f t="shared" si="27"/>
        <v/>
      </c>
      <c r="W143"/>
      <c r="X143" s="4" t="str">
        <f t="shared" si="28"/>
        <v/>
      </c>
      <c r="Y143"/>
      <c r="Z143" s="4" t="str">
        <f t="shared" si="29"/>
        <v/>
      </c>
      <c r="AA143"/>
    </row>
    <row r="144" spans="1:27" x14ac:dyDescent="0.4">
      <c r="A144"/>
      <c r="B144"/>
      <c r="C144"/>
      <c r="D144"/>
      <c r="E144"/>
      <c r="G144"/>
      <c r="H144" s="4" t="str">
        <f t="shared" si="20"/>
        <v/>
      </c>
      <c r="I144"/>
      <c r="J144" s="4" t="str">
        <f t="shared" si="21"/>
        <v/>
      </c>
      <c r="K144"/>
      <c r="L144" s="4" t="str">
        <f t="shared" si="22"/>
        <v/>
      </c>
      <c r="M144"/>
      <c r="N144" s="4" t="str">
        <f t="shared" si="23"/>
        <v/>
      </c>
      <c r="O144"/>
      <c r="P144" s="4" t="str">
        <f t="shared" si="24"/>
        <v/>
      </c>
      <c r="Q144"/>
      <c r="R144" s="18" t="str">
        <f t="shared" si="25"/>
        <v/>
      </c>
      <c r="S144"/>
      <c r="T144" s="4" t="str">
        <f t="shared" si="26"/>
        <v/>
      </c>
      <c r="U144"/>
      <c r="V144" s="4" t="str">
        <f t="shared" si="27"/>
        <v/>
      </c>
      <c r="W144"/>
      <c r="X144" s="4" t="str">
        <f t="shared" si="28"/>
        <v/>
      </c>
      <c r="Y144"/>
      <c r="Z144" s="4" t="str">
        <f t="shared" si="29"/>
        <v/>
      </c>
      <c r="AA144"/>
    </row>
    <row r="145" spans="1:27" x14ac:dyDescent="0.4">
      <c r="A145"/>
      <c r="B145"/>
      <c r="C145"/>
      <c r="D145"/>
      <c r="E145"/>
      <c r="G145"/>
      <c r="H145" s="4" t="str">
        <f t="shared" si="20"/>
        <v/>
      </c>
      <c r="I145"/>
      <c r="J145" s="4" t="str">
        <f t="shared" si="21"/>
        <v/>
      </c>
      <c r="K145"/>
      <c r="L145" s="4" t="str">
        <f t="shared" si="22"/>
        <v/>
      </c>
      <c r="M145"/>
      <c r="N145" s="4" t="str">
        <f t="shared" si="23"/>
        <v/>
      </c>
      <c r="O145"/>
      <c r="P145" s="4" t="str">
        <f t="shared" si="24"/>
        <v/>
      </c>
      <c r="Q145"/>
      <c r="R145" s="18" t="str">
        <f t="shared" si="25"/>
        <v/>
      </c>
      <c r="S145"/>
      <c r="T145" s="4" t="str">
        <f t="shared" si="26"/>
        <v/>
      </c>
      <c r="U145"/>
      <c r="V145" s="4" t="str">
        <f t="shared" si="27"/>
        <v/>
      </c>
      <c r="W145"/>
      <c r="X145" s="4" t="str">
        <f t="shared" si="28"/>
        <v/>
      </c>
      <c r="Y145"/>
      <c r="Z145" s="4" t="str">
        <f t="shared" si="29"/>
        <v/>
      </c>
      <c r="AA145"/>
    </row>
    <row r="146" spans="1:27" x14ac:dyDescent="0.4">
      <c r="A146"/>
      <c r="B146"/>
      <c r="C146"/>
      <c r="D146"/>
      <c r="E146"/>
      <c r="G146"/>
      <c r="H146" s="4" t="str">
        <f t="shared" si="20"/>
        <v/>
      </c>
      <c r="I146"/>
      <c r="J146" s="4" t="str">
        <f t="shared" si="21"/>
        <v/>
      </c>
      <c r="K146"/>
      <c r="L146" s="4" t="str">
        <f t="shared" si="22"/>
        <v/>
      </c>
      <c r="M146"/>
      <c r="N146" s="4" t="str">
        <f t="shared" si="23"/>
        <v/>
      </c>
      <c r="O146"/>
      <c r="P146" s="4" t="str">
        <f t="shared" si="24"/>
        <v/>
      </c>
      <c r="Q146"/>
      <c r="R146" s="18" t="str">
        <f t="shared" si="25"/>
        <v/>
      </c>
      <c r="S146"/>
      <c r="T146" s="4" t="str">
        <f t="shared" si="26"/>
        <v/>
      </c>
      <c r="U146"/>
      <c r="V146" s="4" t="str">
        <f t="shared" si="27"/>
        <v/>
      </c>
      <c r="W146"/>
      <c r="X146" s="4" t="str">
        <f t="shared" si="28"/>
        <v/>
      </c>
      <c r="Y146"/>
      <c r="Z146" s="4" t="str">
        <f t="shared" si="29"/>
        <v/>
      </c>
      <c r="AA146"/>
    </row>
    <row r="147" spans="1:27" x14ac:dyDescent="0.4">
      <c r="A147"/>
      <c r="B147"/>
      <c r="C147"/>
      <c r="D147"/>
      <c r="E147"/>
      <c r="G147"/>
      <c r="H147" s="4" t="str">
        <f t="shared" si="20"/>
        <v/>
      </c>
      <c r="I147"/>
      <c r="J147" s="4" t="str">
        <f t="shared" si="21"/>
        <v/>
      </c>
      <c r="K147"/>
      <c r="L147" s="4" t="str">
        <f t="shared" si="22"/>
        <v/>
      </c>
      <c r="M147"/>
      <c r="N147" s="4" t="str">
        <f t="shared" si="23"/>
        <v/>
      </c>
      <c r="O147"/>
      <c r="P147" s="4" t="str">
        <f t="shared" si="24"/>
        <v/>
      </c>
      <c r="Q147"/>
      <c r="R147" s="18" t="str">
        <f t="shared" si="25"/>
        <v/>
      </c>
      <c r="S147"/>
      <c r="T147" s="4" t="str">
        <f t="shared" si="26"/>
        <v/>
      </c>
      <c r="U147"/>
      <c r="V147" s="4" t="str">
        <f t="shared" si="27"/>
        <v/>
      </c>
      <c r="W147"/>
      <c r="X147" s="4" t="str">
        <f t="shared" si="28"/>
        <v/>
      </c>
      <c r="Y147"/>
      <c r="Z147" s="4" t="str">
        <f t="shared" si="29"/>
        <v/>
      </c>
      <c r="AA147"/>
    </row>
    <row r="148" spans="1:27" x14ac:dyDescent="0.4">
      <c r="A148"/>
      <c r="B148"/>
      <c r="C148"/>
      <c r="D148"/>
      <c r="E148"/>
      <c r="G148"/>
      <c r="H148" s="4" t="str">
        <f t="shared" si="20"/>
        <v/>
      </c>
      <c r="I148"/>
      <c r="J148" s="4" t="str">
        <f t="shared" si="21"/>
        <v/>
      </c>
      <c r="K148"/>
      <c r="L148" s="4" t="str">
        <f t="shared" si="22"/>
        <v/>
      </c>
      <c r="M148"/>
      <c r="N148" s="4" t="str">
        <f t="shared" si="23"/>
        <v/>
      </c>
      <c r="O148"/>
      <c r="P148" s="4" t="str">
        <f t="shared" si="24"/>
        <v/>
      </c>
      <c r="Q148"/>
      <c r="R148" s="18" t="str">
        <f t="shared" si="25"/>
        <v/>
      </c>
      <c r="S148"/>
      <c r="T148" s="4" t="str">
        <f t="shared" si="26"/>
        <v/>
      </c>
      <c r="U148"/>
      <c r="V148" s="4" t="str">
        <f t="shared" si="27"/>
        <v/>
      </c>
      <c r="W148"/>
      <c r="X148" s="4" t="str">
        <f t="shared" si="28"/>
        <v/>
      </c>
      <c r="Y148"/>
      <c r="Z148" s="4" t="str">
        <f t="shared" si="29"/>
        <v/>
      </c>
      <c r="AA148"/>
    </row>
    <row r="149" spans="1:27" x14ac:dyDescent="0.4">
      <c r="A149"/>
      <c r="B149"/>
      <c r="C149"/>
      <c r="D149"/>
      <c r="E149"/>
      <c r="G149"/>
      <c r="H149" s="4" t="str">
        <f t="shared" si="20"/>
        <v/>
      </c>
      <c r="I149"/>
      <c r="J149" s="4" t="str">
        <f t="shared" si="21"/>
        <v/>
      </c>
      <c r="K149"/>
      <c r="L149" s="4" t="str">
        <f t="shared" si="22"/>
        <v/>
      </c>
      <c r="M149"/>
      <c r="N149" s="4" t="str">
        <f t="shared" si="23"/>
        <v/>
      </c>
      <c r="O149"/>
      <c r="P149" s="4" t="str">
        <f t="shared" si="24"/>
        <v/>
      </c>
      <c r="Q149"/>
      <c r="R149" s="18" t="str">
        <f t="shared" si="25"/>
        <v/>
      </c>
      <c r="S149"/>
      <c r="T149" s="4" t="str">
        <f t="shared" si="26"/>
        <v/>
      </c>
      <c r="U149"/>
      <c r="V149" s="4" t="str">
        <f t="shared" si="27"/>
        <v/>
      </c>
      <c r="W149"/>
      <c r="X149" s="4" t="str">
        <f t="shared" si="28"/>
        <v/>
      </c>
      <c r="Y149"/>
      <c r="Z149" s="4" t="str">
        <f t="shared" si="29"/>
        <v/>
      </c>
      <c r="AA149"/>
    </row>
    <row r="150" spans="1:27" x14ac:dyDescent="0.4">
      <c r="A150"/>
      <c r="B150"/>
      <c r="C150"/>
      <c r="D150"/>
      <c r="E150"/>
      <c r="G150"/>
      <c r="H150" s="4" t="str">
        <f t="shared" si="20"/>
        <v/>
      </c>
      <c r="I150"/>
      <c r="J150" s="4" t="str">
        <f t="shared" si="21"/>
        <v/>
      </c>
      <c r="K150"/>
      <c r="L150" s="4" t="str">
        <f t="shared" si="22"/>
        <v/>
      </c>
      <c r="M150"/>
      <c r="N150" s="4" t="str">
        <f t="shared" si="23"/>
        <v/>
      </c>
      <c r="O150"/>
      <c r="P150" s="4" t="str">
        <f t="shared" si="24"/>
        <v/>
      </c>
      <c r="Q150"/>
      <c r="R150" s="18" t="str">
        <f t="shared" si="25"/>
        <v/>
      </c>
      <c r="S150"/>
      <c r="T150" s="4" t="str">
        <f t="shared" si="26"/>
        <v/>
      </c>
      <c r="U150"/>
      <c r="V150" s="4" t="str">
        <f t="shared" si="27"/>
        <v/>
      </c>
      <c r="W150"/>
      <c r="X150" s="4" t="str">
        <f t="shared" si="28"/>
        <v/>
      </c>
      <c r="Y150"/>
      <c r="Z150" s="4" t="str">
        <f t="shared" si="29"/>
        <v/>
      </c>
      <c r="AA150"/>
    </row>
    <row r="151" spans="1:27" x14ac:dyDescent="0.4">
      <c r="A151"/>
      <c r="B151"/>
      <c r="C151"/>
      <c r="D151"/>
      <c r="E151"/>
      <c r="G151"/>
      <c r="H151" s="4" t="str">
        <f t="shared" si="20"/>
        <v/>
      </c>
      <c r="I151"/>
      <c r="J151" s="4" t="str">
        <f t="shared" si="21"/>
        <v/>
      </c>
      <c r="K151"/>
      <c r="L151" s="4" t="str">
        <f t="shared" si="22"/>
        <v/>
      </c>
      <c r="M151"/>
      <c r="N151" s="4" t="str">
        <f t="shared" si="23"/>
        <v/>
      </c>
      <c r="O151"/>
      <c r="P151" s="4" t="str">
        <f t="shared" si="24"/>
        <v/>
      </c>
      <c r="Q151"/>
      <c r="R151" s="18" t="str">
        <f t="shared" si="25"/>
        <v/>
      </c>
      <c r="S151"/>
      <c r="T151" s="4" t="str">
        <f t="shared" si="26"/>
        <v/>
      </c>
      <c r="U151"/>
      <c r="V151" s="4" t="str">
        <f t="shared" si="27"/>
        <v/>
      </c>
      <c r="W151"/>
      <c r="X151" s="4" t="str">
        <f t="shared" si="28"/>
        <v/>
      </c>
      <c r="Y151"/>
      <c r="Z151" s="4" t="str">
        <f t="shared" si="29"/>
        <v/>
      </c>
      <c r="AA151"/>
    </row>
    <row r="152" spans="1:27" x14ac:dyDescent="0.4">
      <c r="A152"/>
      <c r="B152"/>
      <c r="C152"/>
      <c r="D152"/>
      <c r="E152"/>
      <c r="G152"/>
      <c r="H152" s="4" t="str">
        <f t="shared" si="20"/>
        <v/>
      </c>
      <c r="I152"/>
      <c r="J152" s="4" t="str">
        <f t="shared" si="21"/>
        <v/>
      </c>
      <c r="K152"/>
      <c r="L152" s="4" t="str">
        <f t="shared" si="22"/>
        <v/>
      </c>
      <c r="M152"/>
      <c r="N152" s="4" t="str">
        <f t="shared" si="23"/>
        <v/>
      </c>
      <c r="O152"/>
      <c r="P152" s="4" t="str">
        <f t="shared" si="24"/>
        <v/>
      </c>
      <c r="Q152"/>
      <c r="R152" s="18" t="str">
        <f t="shared" si="25"/>
        <v/>
      </c>
      <c r="S152"/>
      <c r="T152" s="4" t="str">
        <f t="shared" si="26"/>
        <v/>
      </c>
      <c r="U152"/>
      <c r="V152" s="4" t="str">
        <f t="shared" si="27"/>
        <v/>
      </c>
      <c r="W152"/>
      <c r="X152" s="4" t="str">
        <f t="shared" si="28"/>
        <v/>
      </c>
      <c r="Y152"/>
      <c r="Z152" s="4" t="str">
        <f t="shared" si="29"/>
        <v/>
      </c>
      <c r="AA152"/>
    </row>
    <row r="153" spans="1:27" x14ac:dyDescent="0.4">
      <c r="A153"/>
      <c r="B153"/>
      <c r="C153"/>
      <c r="D153"/>
      <c r="E153"/>
      <c r="G153"/>
      <c r="H153" s="4" t="str">
        <f t="shared" si="20"/>
        <v/>
      </c>
      <c r="I153"/>
      <c r="J153" s="4" t="str">
        <f t="shared" si="21"/>
        <v/>
      </c>
      <c r="K153"/>
      <c r="L153" s="4" t="str">
        <f t="shared" si="22"/>
        <v/>
      </c>
      <c r="M153"/>
      <c r="N153" s="4" t="str">
        <f t="shared" si="23"/>
        <v/>
      </c>
      <c r="O153"/>
      <c r="P153" s="4" t="str">
        <f t="shared" si="24"/>
        <v/>
      </c>
      <c r="Q153"/>
      <c r="R153" s="18" t="str">
        <f t="shared" si="25"/>
        <v/>
      </c>
      <c r="S153"/>
      <c r="T153" s="4" t="str">
        <f t="shared" si="26"/>
        <v/>
      </c>
      <c r="U153"/>
      <c r="V153" s="4" t="str">
        <f t="shared" si="27"/>
        <v/>
      </c>
      <c r="W153"/>
      <c r="X153" s="4" t="str">
        <f t="shared" si="28"/>
        <v/>
      </c>
      <c r="Y153"/>
      <c r="Z153" s="4" t="str">
        <f t="shared" si="29"/>
        <v/>
      </c>
      <c r="AA153"/>
    </row>
    <row r="154" spans="1:27" x14ac:dyDescent="0.4">
      <c r="A154"/>
      <c r="B154"/>
      <c r="C154"/>
      <c r="D154"/>
      <c r="E154"/>
      <c r="G154"/>
      <c r="H154" s="4" t="str">
        <f t="shared" si="20"/>
        <v/>
      </c>
      <c r="I154"/>
      <c r="J154" s="4" t="str">
        <f t="shared" si="21"/>
        <v/>
      </c>
      <c r="K154"/>
      <c r="L154" s="4" t="str">
        <f t="shared" si="22"/>
        <v/>
      </c>
      <c r="M154"/>
      <c r="N154" s="4" t="str">
        <f t="shared" si="23"/>
        <v/>
      </c>
      <c r="O154"/>
      <c r="P154" s="4" t="str">
        <f t="shared" si="24"/>
        <v/>
      </c>
      <c r="Q154"/>
      <c r="R154" s="18" t="str">
        <f t="shared" si="25"/>
        <v/>
      </c>
      <c r="S154"/>
      <c r="T154" s="4" t="str">
        <f t="shared" si="26"/>
        <v/>
      </c>
      <c r="U154"/>
      <c r="V154" s="4" t="str">
        <f t="shared" si="27"/>
        <v/>
      </c>
      <c r="W154"/>
      <c r="X154" s="4" t="str">
        <f t="shared" si="28"/>
        <v/>
      </c>
      <c r="Y154"/>
      <c r="Z154" s="4" t="str">
        <f t="shared" si="29"/>
        <v/>
      </c>
      <c r="AA154"/>
    </row>
    <row r="155" spans="1:27" x14ac:dyDescent="0.4">
      <c r="A155"/>
      <c r="B155"/>
      <c r="C155"/>
      <c r="D155"/>
      <c r="E155"/>
      <c r="G155"/>
      <c r="H155" s="4" t="str">
        <f t="shared" si="20"/>
        <v/>
      </c>
      <c r="I155"/>
      <c r="J155" s="4" t="str">
        <f t="shared" si="21"/>
        <v/>
      </c>
      <c r="K155"/>
      <c r="L155" s="4" t="str">
        <f t="shared" si="22"/>
        <v/>
      </c>
      <c r="M155"/>
      <c r="N155" s="4" t="str">
        <f t="shared" si="23"/>
        <v/>
      </c>
      <c r="O155"/>
      <c r="P155" s="4" t="str">
        <f t="shared" si="24"/>
        <v/>
      </c>
      <c r="Q155"/>
      <c r="R155" s="18" t="str">
        <f t="shared" si="25"/>
        <v/>
      </c>
      <c r="S155"/>
      <c r="T155" s="4" t="str">
        <f t="shared" si="26"/>
        <v/>
      </c>
      <c r="U155"/>
      <c r="V155" s="4" t="str">
        <f t="shared" si="27"/>
        <v/>
      </c>
      <c r="W155"/>
      <c r="X155" s="4" t="str">
        <f t="shared" si="28"/>
        <v/>
      </c>
      <c r="Y155"/>
      <c r="Z155" s="4" t="str">
        <f t="shared" si="29"/>
        <v/>
      </c>
      <c r="AA155"/>
    </row>
    <row r="156" spans="1:27" x14ac:dyDescent="0.4">
      <c r="A156"/>
      <c r="B156"/>
      <c r="C156"/>
      <c r="D156"/>
      <c r="E156"/>
      <c r="G156"/>
      <c r="H156" s="4" t="str">
        <f t="shared" si="20"/>
        <v/>
      </c>
      <c r="I156"/>
      <c r="J156" s="4" t="str">
        <f t="shared" si="21"/>
        <v/>
      </c>
      <c r="K156"/>
      <c r="L156" s="4" t="str">
        <f t="shared" si="22"/>
        <v/>
      </c>
      <c r="M156"/>
      <c r="N156" s="4" t="str">
        <f t="shared" si="23"/>
        <v/>
      </c>
      <c r="O156"/>
      <c r="P156" s="4" t="str">
        <f t="shared" si="24"/>
        <v/>
      </c>
      <c r="Q156"/>
      <c r="R156" s="18" t="str">
        <f t="shared" si="25"/>
        <v/>
      </c>
      <c r="S156"/>
      <c r="T156" s="4" t="str">
        <f t="shared" si="26"/>
        <v/>
      </c>
      <c r="U156"/>
      <c r="V156" s="4" t="str">
        <f t="shared" si="27"/>
        <v/>
      </c>
      <c r="W156"/>
      <c r="X156" s="4" t="str">
        <f t="shared" si="28"/>
        <v/>
      </c>
      <c r="Y156"/>
      <c r="Z156" s="4" t="str">
        <f t="shared" si="29"/>
        <v/>
      </c>
      <c r="AA156"/>
    </row>
    <row r="157" spans="1:27" x14ac:dyDescent="0.4">
      <c r="A157"/>
      <c r="B157"/>
      <c r="C157"/>
      <c r="D157"/>
      <c r="E157"/>
      <c r="G157"/>
      <c r="H157" s="4" t="str">
        <f t="shared" si="20"/>
        <v/>
      </c>
      <c r="I157"/>
      <c r="J157" s="4" t="str">
        <f t="shared" si="21"/>
        <v/>
      </c>
      <c r="K157"/>
      <c r="L157" s="4" t="str">
        <f t="shared" si="22"/>
        <v/>
      </c>
      <c r="M157"/>
      <c r="N157" s="4" t="str">
        <f t="shared" si="23"/>
        <v/>
      </c>
      <c r="O157"/>
      <c r="P157" s="4" t="str">
        <f t="shared" si="24"/>
        <v/>
      </c>
      <c r="Q157"/>
      <c r="R157" s="18" t="str">
        <f t="shared" si="25"/>
        <v/>
      </c>
      <c r="S157"/>
      <c r="T157" s="4" t="str">
        <f t="shared" si="26"/>
        <v/>
      </c>
      <c r="U157"/>
      <c r="V157" s="4" t="str">
        <f t="shared" si="27"/>
        <v/>
      </c>
      <c r="W157"/>
      <c r="X157" s="4" t="str">
        <f t="shared" si="28"/>
        <v/>
      </c>
      <c r="Y157"/>
      <c r="Z157" s="4" t="str">
        <f t="shared" si="29"/>
        <v/>
      </c>
      <c r="AA157"/>
    </row>
    <row r="158" spans="1:27" x14ac:dyDescent="0.4">
      <c r="A158"/>
      <c r="B158"/>
      <c r="C158"/>
      <c r="D158"/>
      <c r="E158"/>
      <c r="G158"/>
      <c r="H158" s="4" t="str">
        <f t="shared" si="20"/>
        <v/>
      </c>
      <c r="I158"/>
      <c r="J158" s="4" t="str">
        <f t="shared" si="21"/>
        <v/>
      </c>
      <c r="K158"/>
      <c r="L158" s="4" t="str">
        <f t="shared" si="22"/>
        <v/>
      </c>
      <c r="M158"/>
      <c r="N158" s="4" t="str">
        <f t="shared" si="23"/>
        <v/>
      </c>
      <c r="O158"/>
      <c r="P158" s="4" t="str">
        <f t="shared" si="24"/>
        <v/>
      </c>
      <c r="Q158"/>
      <c r="R158" s="18" t="str">
        <f t="shared" si="25"/>
        <v/>
      </c>
      <c r="S158"/>
      <c r="T158" s="4" t="str">
        <f t="shared" si="26"/>
        <v/>
      </c>
      <c r="U158"/>
      <c r="V158" s="4" t="str">
        <f t="shared" si="27"/>
        <v/>
      </c>
      <c r="W158"/>
      <c r="X158" s="4" t="str">
        <f t="shared" si="28"/>
        <v/>
      </c>
      <c r="Y158"/>
      <c r="Z158" s="4" t="str">
        <f t="shared" si="29"/>
        <v/>
      </c>
      <c r="AA158"/>
    </row>
    <row r="159" spans="1:27" x14ac:dyDescent="0.4">
      <c r="A159"/>
      <c r="B159"/>
      <c r="C159"/>
      <c r="D159"/>
      <c r="E159"/>
      <c r="G159"/>
      <c r="H159" s="4" t="str">
        <f t="shared" si="20"/>
        <v/>
      </c>
      <c r="I159"/>
      <c r="J159" s="4" t="str">
        <f t="shared" si="21"/>
        <v/>
      </c>
      <c r="K159"/>
      <c r="L159" s="4" t="str">
        <f t="shared" si="22"/>
        <v/>
      </c>
      <c r="M159"/>
      <c r="N159" s="4" t="str">
        <f t="shared" si="23"/>
        <v/>
      </c>
      <c r="O159"/>
      <c r="P159" s="4" t="str">
        <f t="shared" si="24"/>
        <v/>
      </c>
      <c r="Q159"/>
      <c r="R159" s="18" t="str">
        <f t="shared" si="25"/>
        <v/>
      </c>
      <c r="S159"/>
      <c r="T159" s="4" t="str">
        <f t="shared" si="26"/>
        <v/>
      </c>
      <c r="U159"/>
      <c r="V159" s="4" t="str">
        <f t="shared" si="27"/>
        <v/>
      </c>
      <c r="W159"/>
      <c r="X159" s="4" t="str">
        <f t="shared" si="28"/>
        <v/>
      </c>
      <c r="Y159"/>
      <c r="Z159" s="4" t="str">
        <f t="shared" si="29"/>
        <v/>
      </c>
      <c r="AA159"/>
    </row>
    <row r="160" spans="1:27" x14ac:dyDescent="0.4">
      <c r="A160"/>
      <c r="B160"/>
      <c r="C160"/>
      <c r="D160"/>
      <c r="E160"/>
      <c r="G160"/>
      <c r="H160" s="4" t="str">
        <f t="shared" si="20"/>
        <v/>
      </c>
      <c r="I160"/>
      <c r="J160" s="4" t="str">
        <f t="shared" si="21"/>
        <v/>
      </c>
      <c r="K160"/>
      <c r="L160" s="4" t="str">
        <f t="shared" si="22"/>
        <v/>
      </c>
      <c r="M160"/>
      <c r="N160" s="4" t="str">
        <f t="shared" si="23"/>
        <v/>
      </c>
      <c r="O160"/>
      <c r="P160" s="4" t="str">
        <f t="shared" si="24"/>
        <v/>
      </c>
      <c r="Q160"/>
      <c r="R160" s="18" t="str">
        <f t="shared" si="25"/>
        <v/>
      </c>
      <c r="S160"/>
      <c r="T160" s="4" t="str">
        <f t="shared" si="26"/>
        <v/>
      </c>
      <c r="U160"/>
      <c r="V160" s="4" t="str">
        <f t="shared" si="27"/>
        <v/>
      </c>
      <c r="W160"/>
      <c r="X160" s="4" t="str">
        <f t="shared" si="28"/>
        <v/>
      </c>
      <c r="Y160"/>
      <c r="Z160" s="4" t="str">
        <f t="shared" si="29"/>
        <v/>
      </c>
      <c r="AA160"/>
    </row>
    <row r="161" spans="1:27" x14ac:dyDescent="0.4">
      <c r="A161"/>
      <c r="B161"/>
      <c r="C161"/>
      <c r="D161"/>
      <c r="E161"/>
      <c r="G161"/>
      <c r="H161" s="4" t="str">
        <f t="shared" si="20"/>
        <v/>
      </c>
      <c r="I161"/>
      <c r="J161" s="4" t="str">
        <f t="shared" si="21"/>
        <v/>
      </c>
      <c r="K161"/>
      <c r="L161" s="4" t="str">
        <f t="shared" si="22"/>
        <v/>
      </c>
      <c r="M161"/>
      <c r="N161" s="4" t="str">
        <f t="shared" si="23"/>
        <v/>
      </c>
      <c r="O161"/>
      <c r="P161" s="4" t="str">
        <f t="shared" si="24"/>
        <v/>
      </c>
      <c r="Q161"/>
      <c r="R161" s="18" t="str">
        <f t="shared" si="25"/>
        <v/>
      </c>
      <c r="S161"/>
      <c r="T161" s="4" t="str">
        <f t="shared" si="26"/>
        <v/>
      </c>
      <c r="U161"/>
      <c r="V161" s="4" t="str">
        <f t="shared" si="27"/>
        <v/>
      </c>
      <c r="W161"/>
      <c r="X161" s="4" t="str">
        <f t="shared" si="28"/>
        <v/>
      </c>
      <c r="Y161"/>
      <c r="Z161" s="4" t="str">
        <f t="shared" si="29"/>
        <v/>
      </c>
      <c r="AA161"/>
    </row>
    <row r="162" spans="1:27" x14ac:dyDescent="0.4">
      <c r="A162"/>
      <c r="B162"/>
      <c r="C162"/>
      <c r="D162"/>
      <c r="E162"/>
      <c r="G162"/>
      <c r="H162" s="4" t="str">
        <f t="shared" si="20"/>
        <v/>
      </c>
      <c r="I162"/>
      <c r="J162" s="4" t="str">
        <f t="shared" si="21"/>
        <v/>
      </c>
      <c r="K162"/>
      <c r="L162" s="4" t="str">
        <f t="shared" si="22"/>
        <v/>
      </c>
      <c r="M162"/>
      <c r="N162" s="4" t="str">
        <f t="shared" si="23"/>
        <v/>
      </c>
      <c r="O162"/>
      <c r="P162" s="4" t="str">
        <f t="shared" si="24"/>
        <v/>
      </c>
      <c r="Q162"/>
      <c r="R162" s="18" t="str">
        <f t="shared" si="25"/>
        <v/>
      </c>
      <c r="S162"/>
      <c r="T162" s="4" t="str">
        <f t="shared" si="26"/>
        <v/>
      </c>
      <c r="U162"/>
      <c r="V162" s="4" t="str">
        <f t="shared" si="27"/>
        <v/>
      </c>
      <c r="W162"/>
      <c r="X162" s="4" t="str">
        <f t="shared" si="28"/>
        <v/>
      </c>
      <c r="Y162"/>
      <c r="Z162" s="4" t="str">
        <f t="shared" si="29"/>
        <v/>
      </c>
      <c r="AA162"/>
    </row>
    <row r="163" spans="1:27" x14ac:dyDescent="0.4">
      <c r="A163"/>
      <c r="B163"/>
      <c r="C163"/>
      <c r="D163"/>
      <c r="E163"/>
      <c r="G163"/>
      <c r="H163" s="4" t="str">
        <f t="shared" si="20"/>
        <v/>
      </c>
      <c r="I163"/>
      <c r="J163" s="4" t="str">
        <f t="shared" si="21"/>
        <v/>
      </c>
      <c r="K163"/>
      <c r="L163" s="4" t="str">
        <f t="shared" si="22"/>
        <v/>
      </c>
      <c r="M163"/>
      <c r="N163" s="4" t="str">
        <f t="shared" si="23"/>
        <v/>
      </c>
      <c r="O163"/>
      <c r="P163" s="4" t="str">
        <f t="shared" si="24"/>
        <v/>
      </c>
      <c r="Q163"/>
      <c r="R163" s="18" t="str">
        <f t="shared" si="25"/>
        <v/>
      </c>
      <c r="S163"/>
      <c r="T163" s="4" t="str">
        <f t="shared" si="26"/>
        <v/>
      </c>
      <c r="U163"/>
      <c r="V163" s="4" t="str">
        <f t="shared" si="27"/>
        <v/>
      </c>
      <c r="W163"/>
      <c r="X163" s="4" t="str">
        <f t="shared" si="28"/>
        <v/>
      </c>
      <c r="Y163"/>
      <c r="Z163" s="4" t="str">
        <f t="shared" si="29"/>
        <v/>
      </c>
      <c r="AA163"/>
    </row>
    <row r="164" spans="1:27" x14ac:dyDescent="0.4">
      <c r="A164"/>
      <c r="B164"/>
      <c r="C164"/>
      <c r="D164"/>
      <c r="E164"/>
      <c r="G164"/>
      <c r="H164" s="4" t="str">
        <f t="shared" si="20"/>
        <v/>
      </c>
      <c r="I164"/>
      <c r="J164" s="4" t="str">
        <f t="shared" si="21"/>
        <v/>
      </c>
      <c r="K164"/>
      <c r="L164" s="4" t="str">
        <f t="shared" si="22"/>
        <v/>
      </c>
      <c r="M164"/>
      <c r="N164" s="4" t="str">
        <f t="shared" si="23"/>
        <v/>
      </c>
      <c r="O164"/>
      <c r="P164" s="4" t="str">
        <f t="shared" si="24"/>
        <v/>
      </c>
      <c r="Q164"/>
      <c r="R164" s="18" t="str">
        <f t="shared" si="25"/>
        <v/>
      </c>
      <c r="S164"/>
      <c r="T164" s="4" t="str">
        <f t="shared" si="26"/>
        <v/>
      </c>
      <c r="U164"/>
      <c r="V164" s="4" t="str">
        <f t="shared" si="27"/>
        <v/>
      </c>
      <c r="W164"/>
      <c r="X164" s="4" t="str">
        <f t="shared" si="28"/>
        <v/>
      </c>
      <c r="Y164"/>
      <c r="Z164" s="4" t="str">
        <f t="shared" si="29"/>
        <v/>
      </c>
      <c r="AA164"/>
    </row>
    <row r="165" spans="1:27" x14ac:dyDescent="0.4">
      <c r="A165"/>
      <c r="B165"/>
      <c r="C165"/>
      <c r="D165"/>
      <c r="E165"/>
      <c r="G165"/>
      <c r="H165" s="4" t="str">
        <f t="shared" si="20"/>
        <v/>
      </c>
      <c r="I165"/>
      <c r="J165" s="4" t="str">
        <f t="shared" si="21"/>
        <v/>
      </c>
      <c r="K165"/>
      <c r="L165" s="4" t="str">
        <f t="shared" si="22"/>
        <v/>
      </c>
      <c r="M165"/>
      <c r="N165" s="4" t="str">
        <f t="shared" si="23"/>
        <v/>
      </c>
      <c r="O165"/>
      <c r="P165" s="4" t="str">
        <f t="shared" si="24"/>
        <v/>
      </c>
      <c r="Q165"/>
      <c r="R165" s="18" t="str">
        <f t="shared" si="25"/>
        <v/>
      </c>
      <c r="S165"/>
      <c r="T165" s="4" t="str">
        <f t="shared" si="26"/>
        <v/>
      </c>
      <c r="U165"/>
      <c r="V165" s="4" t="str">
        <f t="shared" si="27"/>
        <v/>
      </c>
      <c r="W165"/>
      <c r="X165" s="4" t="str">
        <f t="shared" si="28"/>
        <v/>
      </c>
      <c r="Y165"/>
      <c r="Z165" s="4" t="str">
        <f t="shared" si="29"/>
        <v/>
      </c>
      <c r="AA165"/>
    </row>
    <row r="166" spans="1:27" x14ac:dyDescent="0.4">
      <c r="A166"/>
      <c r="B166"/>
      <c r="C166"/>
      <c r="D166"/>
      <c r="E166"/>
      <c r="G166"/>
      <c r="H166" s="4" t="str">
        <f t="shared" si="20"/>
        <v/>
      </c>
      <c r="I166"/>
      <c r="J166" s="4" t="str">
        <f t="shared" si="21"/>
        <v/>
      </c>
      <c r="K166"/>
      <c r="L166" s="4" t="str">
        <f t="shared" si="22"/>
        <v/>
      </c>
      <c r="M166"/>
      <c r="N166" s="4" t="str">
        <f t="shared" si="23"/>
        <v/>
      </c>
      <c r="O166"/>
      <c r="P166" s="4" t="str">
        <f t="shared" si="24"/>
        <v/>
      </c>
      <c r="Q166"/>
      <c r="R166" s="18" t="str">
        <f t="shared" si="25"/>
        <v/>
      </c>
      <c r="S166"/>
      <c r="T166" s="4" t="str">
        <f t="shared" si="26"/>
        <v/>
      </c>
      <c r="U166"/>
      <c r="V166" s="4" t="str">
        <f t="shared" si="27"/>
        <v/>
      </c>
      <c r="W166"/>
      <c r="X166" s="4" t="str">
        <f t="shared" si="28"/>
        <v/>
      </c>
      <c r="Y166"/>
      <c r="Z166" s="4" t="str">
        <f t="shared" si="29"/>
        <v/>
      </c>
      <c r="AA166"/>
    </row>
    <row r="167" spans="1:27" x14ac:dyDescent="0.4">
      <c r="A167"/>
      <c r="B167"/>
      <c r="C167"/>
      <c r="D167"/>
      <c r="E167"/>
      <c r="G167"/>
      <c r="H167" s="4" t="str">
        <f t="shared" si="20"/>
        <v/>
      </c>
      <c r="I167"/>
      <c r="J167" s="4" t="str">
        <f t="shared" si="21"/>
        <v/>
      </c>
      <c r="K167"/>
      <c r="L167" s="4" t="str">
        <f t="shared" si="22"/>
        <v/>
      </c>
      <c r="M167"/>
      <c r="N167" s="4" t="str">
        <f t="shared" si="23"/>
        <v/>
      </c>
      <c r="O167"/>
      <c r="P167" s="4" t="str">
        <f t="shared" si="24"/>
        <v/>
      </c>
      <c r="Q167"/>
      <c r="R167" s="18" t="str">
        <f t="shared" si="25"/>
        <v/>
      </c>
      <c r="S167"/>
      <c r="T167" s="4" t="str">
        <f t="shared" si="26"/>
        <v/>
      </c>
      <c r="U167"/>
      <c r="V167" s="4" t="str">
        <f t="shared" si="27"/>
        <v/>
      </c>
      <c r="W167"/>
      <c r="X167" s="4" t="str">
        <f t="shared" si="28"/>
        <v/>
      </c>
      <c r="Y167"/>
      <c r="Z167" s="4" t="str">
        <f t="shared" si="29"/>
        <v/>
      </c>
      <c r="AA167"/>
    </row>
    <row r="168" spans="1:27" x14ac:dyDescent="0.4">
      <c r="A168"/>
      <c r="B168"/>
      <c r="C168"/>
      <c r="D168"/>
      <c r="E168"/>
      <c r="G168"/>
      <c r="H168" s="4" t="str">
        <f t="shared" si="20"/>
        <v/>
      </c>
      <c r="I168"/>
      <c r="J168" s="4" t="str">
        <f t="shared" si="21"/>
        <v/>
      </c>
      <c r="K168"/>
      <c r="L168" s="4" t="str">
        <f t="shared" si="22"/>
        <v/>
      </c>
      <c r="M168"/>
      <c r="N168" s="4" t="str">
        <f t="shared" si="23"/>
        <v/>
      </c>
      <c r="O168"/>
      <c r="P168" s="4" t="str">
        <f t="shared" si="24"/>
        <v/>
      </c>
      <c r="Q168"/>
      <c r="R168" s="18" t="str">
        <f t="shared" si="25"/>
        <v/>
      </c>
      <c r="S168"/>
      <c r="T168" s="4" t="str">
        <f t="shared" si="26"/>
        <v/>
      </c>
      <c r="U168"/>
      <c r="V168" s="4" t="str">
        <f t="shared" si="27"/>
        <v/>
      </c>
      <c r="W168"/>
      <c r="X168" s="4" t="str">
        <f t="shared" si="28"/>
        <v/>
      </c>
      <c r="Y168"/>
      <c r="Z168" s="4" t="str">
        <f t="shared" si="29"/>
        <v/>
      </c>
      <c r="AA168"/>
    </row>
    <row r="169" spans="1:27" x14ac:dyDescent="0.4">
      <c r="A169"/>
      <c r="B169"/>
      <c r="C169"/>
      <c r="D169"/>
      <c r="E169"/>
      <c r="G169"/>
      <c r="H169" s="4" t="str">
        <f t="shared" si="20"/>
        <v/>
      </c>
      <c r="I169"/>
      <c r="J169" s="4" t="str">
        <f t="shared" si="21"/>
        <v/>
      </c>
      <c r="K169"/>
      <c r="L169" s="4" t="str">
        <f t="shared" si="22"/>
        <v/>
      </c>
      <c r="M169"/>
      <c r="N169" s="4" t="str">
        <f t="shared" si="23"/>
        <v/>
      </c>
      <c r="O169"/>
      <c r="P169" s="4" t="str">
        <f t="shared" si="24"/>
        <v/>
      </c>
      <c r="Q169"/>
      <c r="R169" s="18" t="str">
        <f t="shared" si="25"/>
        <v/>
      </c>
      <c r="S169"/>
      <c r="T169" s="4" t="str">
        <f t="shared" si="26"/>
        <v/>
      </c>
      <c r="U169"/>
      <c r="V169" s="4" t="str">
        <f t="shared" si="27"/>
        <v/>
      </c>
      <c r="W169"/>
      <c r="X169" s="4" t="str">
        <f t="shared" si="28"/>
        <v/>
      </c>
      <c r="Y169"/>
      <c r="Z169" s="4" t="str">
        <f t="shared" si="29"/>
        <v/>
      </c>
      <c r="AA169"/>
    </row>
    <row r="170" spans="1:27" x14ac:dyDescent="0.4">
      <c r="A170"/>
      <c r="B170"/>
      <c r="C170"/>
      <c r="D170"/>
      <c r="E170"/>
      <c r="G170"/>
      <c r="H170" s="4" t="str">
        <f t="shared" si="20"/>
        <v/>
      </c>
      <c r="I170"/>
      <c r="J170" s="4" t="str">
        <f t="shared" si="21"/>
        <v/>
      </c>
      <c r="K170"/>
      <c r="L170" s="4" t="str">
        <f t="shared" si="22"/>
        <v/>
      </c>
      <c r="M170"/>
      <c r="N170" s="4" t="str">
        <f t="shared" si="23"/>
        <v/>
      </c>
      <c r="O170"/>
      <c r="P170" s="4" t="str">
        <f t="shared" si="24"/>
        <v/>
      </c>
      <c r="Q170"/>
      <c r="R170" s="18" t="str">
        <f t="shared" si="25"/>
        <v/>
      </c>
      <c r="S170"/>
      <c r="T170" s="4" t="str">
        <f t="shared" si="26"/>
        <v/>
      </c>
      <c r="U170"/>
      <c r="V170" s="4" t="str">
        <f t="shared" si="27"/>
        <v/>
      </c>
      <c r="W170"/>
      <c r="X170" s="4" t="str">
        <f t="shared" si="28"/>
        <v/>
      </c>
      <c r="Y170"/>
      <c r="Z170" s="4" t="str">
        <f t="shared" si="29"/>
        <v/>
      </c>
      <c r="AA170"/>
    </row>
    <row r="171" spans="1:27" x14ac:dyDescent="0.4">
      <c r="A171"/>
      <c r="B171"/>
      <c r="C171"/>
      <c r="D171"/>
      <c r="E171"/>
      <c r="G171"/>
      <c r="H171" s="4" t="str">
        <f t="shared" si="20"/>
        <v/>
      </c>
      <c r="I171"/>
      <c r="J171" s="4" t="str">
        <f t="shared" si="21"/>
        <v/>
      </c>
      <c r="K171"/>
      <c r="L171" s="4" t="str">
        <f t="shared" si="22"/>
        <v/>
      </c>
      <c r="M171"/>
      <c r="N171" s="4" t="str">
        <f t="shared" si="23"/>
        <v/>
      </c>
      <c r="O171"/>
      <c r="P171" s="4" t="str">
        <f t="shared" si="24"/>
        <v/>
      </c>
      <c r="Q171"/>
      <c r="R171" s="18" t="str">
        <f t="shared" si="25"/>
        <v/>
      </c>
      <c r="S171"/>
      <c r="T171" s="4" t="str">
        <f t="shared" si="26"/>
        <v/>
      </c>
      <c r="U171"/>
      <c r="V171" s="4" t="str">
        <f t="shared" si="27"/>
        <v/>
      </c>
      <c r="W171"/>
      <c r="X171" s="4" t="str">
        <f t="shared" si="28"/>
        <v/>
      </c>
      <c r="Y171"/>
      <c r="Z171" s="4" t="str">
        <f t="shared" si="29"/>
        <v/>
      </c>
      <c r="AA171"/>
    </row>
    <row r="172" spans="1:27" x14ac:dyDescent="0.4">
      <c r="A172"/>
      <c r="B172"/>
      <c r="C172"/>
      <c r="D172"/>
      <c r="E172"/>
      <c r="G172"/>
      <c r="H172" s="4" t="str">
        <f t="shared" si="20"/>
        <v/>
      </c>
      <c r="I172"/>
      <c r="J172" s="4" t="str">
        <f t="shared" si="21"/>
        <v/>
      </c>
      <c r="K172"/>
      <c r="L172" s="4" t="str">
        <f t="shared" si="22"/>
        <v/>
      </c>
      <c r="M172"/>
      <c r="N172" s="4" t="str">
        <f t="shared" si="23"/>
        <v/>
      </c>
      <c r="O172"/>
      <c r="P172" s="4" t="str">
        <f t="shared" si="24"/>
        <v/>
      </c>
      <c r="Q172"/>
      <c r="R172" s="18" t="str">
        <f t="shared" si="25"/>
        <v/>
      </c>
      <c r="S172"/>
      <c r="T172" s="4" t="str">
        <f t="shared" si="26"/>
        <v/>
      </c>
      <c r="U172"/>
      <c r="V172" s="4" t="str">
        <f t="shared" si="27"/>
        <v/>
      </c>
      <c r="W172"/>
      <c r="X172" s="4" t="str">
        <f t="shared" si="28"/>
        <v/>
      </c>
      <c r="Y172"/>
      <c r="Z172" s="4" t="str">
        <f t="shared" si="29"/>
        <v/>
      </c>
      <c r="AA172"/>
    </row>
    <row r="173" spans="1:27" x14ac:dyDescent="0.4">
      <c r="A173"/>
      <c r="B173"/>
      <c r="C173"/>
      <c r="D173"/>
      <c r="E173"/>
      <c r="G173"/>
      <c r="H173" s="4" t="str">
        <f t="shared" si="20"/>
        <v/>
      </c>
      <c r="I173"/>
      <c r="J173" s="4" t="str">
        <f t="shared" si="21"/>
        <v/>
      </c>
      <c r="K173"/>
      <c r="L173" s="4" t="str">
        <f t="shared" si="22"/>
        <v/>
      </c>
      <c r="M173"/>
      <c r="N173" s="4" t="str">
        <f t="shared" si="23"/>
        <v/>
      </c>
      <c r="O173"/>
      <c r="P173" s="4" t="str">
        <f t="shared" si="24"/>
        <v/>
      </c>
      <c r="Q173"/>
      <c r="R173" s="18" t="str">
        <f t="shared" si="25"/>
        <v/>
      </c>
      <c r="S173"/>
      <c r="T173" s="4" t="str">
        <f t="shared" si="26"/>
        <v/>
      </c>
      <c r="U173"/>
      <c r="V173" s="4" t="str">
        <f t="shared" si="27"/>
        <v/>
      </c>
      <c r="W173"/>
      <c r="X173" s="4" t="str">
        <f t="shared" si="28"/>
        <v/>
      </c>
      <c r="Y173"/>
      <c r="Z173" s="4" t="str">
        <f t="shared" si="29"/>
        <v/>
      </c>
      <c r="AA173"/>
    </row>
    <row r="174" spans="1:27" x14ac:dyDescent="0.4">
      <c r="A174"/>
      <c r="B174"/>
      <c r="C174"/>
      <c r="D174"/>
      <c r="E174"/>
      <c r="G174"/>
      <c r="H174" s="4" t="str">
        <f t="shared" si="20"/>
        <v/>
      </c>
      <c r="I174"/>
      <c r="J174" s="4" t="str">
        <f t="shared" si="21"/>
        <v/>
      </c>
      <c r="K174"/>
      <c r="L174" s="4" t="str">
        <f t="shared" si="22"/>
        <v/>
      </c>
      <c r="M174"/>
      <c r="N174" s="4" t="str">
        <f t="shared" si="23"/>
        <v/>
      </c>
      <c r="O174"/>
      <c r="P174" s="4" t="str">
        <f t="shared" si="24"/>
        <v/>
      </c>
      <c r="Q174"/>
      <c r="R174" s="18" t="str">
        <f t="shared" si="25"/>
        <v/>
      </c>
      <c r="S174"/>
      <c r="T174" s="4" t="str">
        <f t="shared" si="26"/>
        <v/>
      </c>
      <c r="U174"/>
      <c r="V174" s="4" t="str">
        <f t="shared" si="27"/>
        <v/>
      </c>
      <c r="W174"/>
      <c r="X174" s="4" t="str">
        <f t="shared" si="28"/>
        <v/>
      </c>
      <c r="Y174"/>
      <c r="Z174" s="4" t="str">
        <f t="shared" si="29"/>
        <v/>
      </c>
      <c r="AA174"/>
    </row>
    <row r="175" spans="1:27" x14ac:dyDescent="0.4">
      <c r="A175"/>
      <c r="B175"/>
      <c r="C175"/>
      <c r="D175"/>
      <c r="E175"/>
      <c r="G175"/>
      <c r="H175" s="4" t="str">
        <f t="shared" si="20"/>
        <v/>
      </c>
      <c r="I175"/>
      <c r="J175" s="4" t="str">
        <f t="shared" si="21"/>
        <v/>
      </c>
      <c r="K175"/>
      <c r="L175" s="4" t="str">
        <f t="shared" si="22"/>
        <v/>
      </c>
      <c r="M175"/>
      <c r="N175" s="4" t="str">
        <f t="shared" si="23"/>
        <v/>
      </c>
      <c r="O175"/>
      <c r="P175" s="4" t="str">
        <f t="shared" si="24"/>
        <v/>
      </c>
      <c r="Q175"/>
      <c r="R175" s="18" t="str">
        <f t="shared" si="25"/>
        <v/>
      </c>
      <c r="S175"/>
      <c r="T175" s="4" t="str">
        <f t="shared" si="26"/>
        <v/>
      </c>
      <c r="U175"/>
      <c r="V175" s="4" t="str">
        <f t="shared" si="27"/>
        <v/>
      </c>
      <c r="W175"/>
      <c r="X175" s="4" t="str">
        <f t="shared" si="28"/>
        <v/>
      </c>
      <c r="Y175"/>
      <c r="Z175" s="4" t="str">
        <f t="shared" si="29"/>
        <v/>
      </c>
      <c r="AA175"/>
    </row>
    <row r="176" spans="1:27" x14ac:dyDescent="0.4">
      <c r="A176"/>
      <c r="B176"/>
      <c r="C176"/>
      <c r="D176"/>
      <c r="E176"/>
      <c r="G176"/>
      <c r="H176" s="4" t="str">
        <f t="shared" si="20"/>
        <v/>
      </c>
      <c r="I176"/>
      <c r="J176" s="4" t="str">
        <f t="shared" si="21"/>
        <v/>
      </c>
      <c r="K176"/>
      <c r="L176" s="4" t="str">
        <f t="shared" si="22"/>
        <v/>
      </c>
      <c r="M176"/>
      <c r="N176" s="4" t="str">
        <f t="shared" si="23"/>
        <v/>
      </c>
      <c r="O176"/>
      <c r="P176" s="4" t="str">
        <f t="shared" si="24"/>
        <v/>
      </c>
      <c r="Q176"/>
      <c r="R176" s="18" t="str">
        <f t="shared" si="25"/>
        <v/>
      </c>
      <c r="S176"/>
      <c r="T176" s="4" t="str">
        <f t="shared" si="26"/>
        <v/>
      </c>
      <c r="U176"/>
      <c r="V176" s="4" t="str">
        <f t="shared" si="27"/>
        <v/>
      </c>
      <c r="W176"/>
      <c r="X176" s="4" t="str">
        <f t="shared" si="28"/>
        <v/>
      </c>
      <c r="Y176"/>
      <c r="Z176" s="4" t="str">
        <f t="shared" si="29"/>
        <v/>
      </c>
      <c r="AA176"/>
    </row>
    <row r="177" spans="1:27" x14ac:dyDescent="0.4">
      <c r="A177"/>
      <c r="B177"/>
      <c r="C177"/>
      <c r="D177"/>
      <c r="E177"/>
      <c r="G177"/>
      <c r="H177" s="4" t="str">
        <f t="shared" si="20"/>
        <v/>
      </c>
      <c r="I177"/>
      <c r="J177" s="4" t="str">
        <f t="shared" si="21"/>
        <v/>
      </c>
      <c r="K177"/>
      <c r="L177" s="4" t="str">
        <f t="shared" si="22"/>
        <v/>
      </c>
      <c r="M177"/>
      <c r="N177" s="4" t="str">
        <f t="shared" si="23"/>
        <v/>
      </c>
      <c r="O177"/>
      <c r="P177" s="4" t="str">
        <f t="shared" si="24"/>
        <v/>
      </c>
      <c r="Q177"/>
      <c r="R177" s="18" t="str">
        <f t="shared" si="25"/>
        <v/>
      </c>
      <c r="S177"/>
      <c r="T177" s="4" t="str">
        <f t="shared" si="26"/>
        <v/>
      </c>
      <c r="U177"/>
      <c r="V177" s="4" t="str">
        <f t="shared" si="27"/>
        <v/>
      </c>
      <c r="W177"/>
      <c r="X177" s="4" t="str">
        <f t="shared" si="28"/>
        <v/>
      </c>
      <c r="Y177"/>
      <c r="Z177" s="4" t="str">
        <f t="shared" si="29"/>
        <v/>
      </c>
      <c r="AA177"/>
    </row>
    <row r="178" spans="1:27" x14ac:dyDescent="0.4">
      <c r="A178"/>
      <c r="B178"/>
      <c r="C178"/>
      <c r="D178"/>
      <c r="E178"/>
      <c r="G178"/>
      <c r="H178" s="4" t="str">
        <f t="shared" si="20"/>
        <v/>
      </c>
      <c r="I178"/>
      <c r="J178" s="4" t="str">
        <f t="shared" si="21"/>
        <v/>
      </c>
      <c r="K178"/>
      <c r="L178" s="4" t="str">
        <f t="shared" si="22"/>
        <v/>
      </c>
      <c r="M178"/>
      <c r="N178" s="4" t="str">
        <f t="shared" si="23"/>
        <v/>
      </c>
      <c r="O178"/>
      <c r="P178" s="4" t="str">
        <f t="shared" si="24"/>
        <v/>
      </c>
      <c r="Q178"/>
      <c r="R178" s="18" t="str">
        <f t="shared" si="25"/>
        <v/>
      </c>
      <c r="S178"/>
      <c r="T178" s="4" t="str">
        <f t="shared" si="26"/>
        <v/>
      </c>
      <c r="U178"/>
      <c r="V178" s="4" t="str">
        <f t="shared" si="27"/>
        <v/>
      </c>
      <c r="W178"/>
      <c r="X178" s="4" t="str">
        <f t="shared" si="28"/>
        <v/>
      </c>
      <c r="Y178"/>
      <c r="Z178" s="4" t="str">
        <f t="shared" si="29"/>
        <v/>
      </c>
      <c r="AA178"/>
    </row>
    <row r="179" spans="1:27" x14ac:dyDescent="0.4">
      <c r="A179"/>
      <c r="B179"/>
      <c r="C179"/>
      <c r="D179"/>
      <c r="E179"/>
      <c r="G179"/>
      <c r="H179" s="4" t="str">
        <f t="shared" si="20"/>
        <v/>
      </c>
      <c r="I179"/>
      <c r="J179" s="4" t="str">
        <f t="shared" si="21"/>
        <v/>
      </c>
      <c r="K179"/>
      <c r="L179" s="4" t="str">
        <f t="shared" si="22"/>
        <v/>
      </c>
      <c r="M179"/>
      <c r="N179" s="4" t="str">
        <f t="shared" si="23"/>
        <v/>
      </c>
      <c r="O179"/>
      <c r="P179" s="4" t="str">
        <f t="shared" si="24"/>
        <v/>
      </c>
      <c r="Q179"/>
      <c r="R179" s="18" t="str">
        <f t="shared" si="25"/>
        <v/>
      </c>
      <c r="S179"/>
      <c r="T179" s="4" t="str">
        <f t="shared" si="26"/>
        <v/>
      </c>
      <c r="U179"/>
      <c r="V179" s="4" t="str">
        <f t="shared" si="27"/>
        <v/>
      </c>
      <c r="W179"/>
      <c r="X179" s="4" t="str">
        <f t="shared" si="28"/>
        <v/>
      </c>
      <c r="Y179"/>
      <c r="Z179" s="4" t="str">
        <f t="shared" si="29"/>
        <v/>
      </c>
      <c r="AA179"/>
    </row>
    <row r="180" spans="1:27" x14ac:dyDescent="0.4">
      <c r="A180"/>
      <c r="B180"/>
      <c r="C180"/>
      <c r="D180"/>
      <c r="E180"/>
      <c r="G180"/>
      <c r="H180" s="4" t="str">
        <f t="shared" si="20"/>
        <v/>
      </c>
      <c r="I180"/>
      <c r="J180" s="4" t="str">
        <f t="shared" si="21"/>
        <v/>
      </c>
      <c r="K180"/>
      <c r="L180" s="4" t="str">
        <f t="shared" si="22"/>
        <v/>
      </c>
      <c r="M180"/>
      <c r="N180" s="4" t="str">
        <f t="shared" si="23"/>
        <v/>
      </c>
      <c r="O180"/>
      <c r="P180" s="4" t="str">
        <f t="shared" si="24"/>
        <v/>
      </c>
      <c r="Q180"/>
      <c r="R180" s="18" t="str">
        <f t="shared" si="25"/>
        <v/>
      </c>
      <c r="S180"/>
      <c r="T180" s="4" t="str">
        <f t="shared" si="26"/>
        <v/>
      </c>
      <c r="U180"/>
      <c r="V180" s="4" t="str">
        <f t="shared" si="27"/>
        <v/>
      </c>
      <c r="W180"/>
      <c r="X180" s="4" t="str">
        <f t="shared" si="28"/>
        <v/>
      </c>
      <c r="Y180"/>
      <c r="Z180" s="4" t="str">
        <f t="shared" si="29"/>
        <v/>
      </c>
      <c r="AA180"/>
    </row>
    <row r="181" spans="1:27" x14ac:dyDescent="0.4">
      <c r="A181"/>
      <c r="B181"/>
      <c r="C181"/>
      <c r="D181"/>
      <c r="E181"/>
      <c r="G181"/>
      <c r="H181" s="4" t="str">
        <f t="shared" si="20"/>
        <v/>
      </c>
      <c r="I181"/>
      <c r="J181" s="4" t="str">
        <f t="shared" si="21"/>
        <v/>
      </c>
      <c r="K181"/>
      <c r="L181" s="4" t="str">
        <f t="shared" si="22"/>
        <v/>
      </c>
      <c r="M181"/>
      <c r="N181" s="4" t="str">
        <f t="shared" si="23"/>
        <v/>
      </c>
      <c r="O181"/>
      <c r="P181" s="4" t="str">
        <f t="shared" si="24"/>
        <v/>
      </c>
      <c r="Q181"/>
      <c r="R181" s="18" t="str">
        <f t="shared" si="25"/>
        <v/>
      </c>
      <c r="S181"/>
      <c r="T181" s="4" t="str">
        <f t="shared" si="26"/>
        <v/>
      </c>
      <c r="U181"/>
      <c r="V181" s="4" t="str">
        <f t="shared" si="27"/>
        <v/>
      </c>
      <c r="W181"/>
      <c r="X181" s="4" t="str">
        <f t="shared" si="28"/>
        <v/>
      </c>
      <c r="Y181"/>
      <c r="Z181" s="4" t="str">
        <f t="shared" si="29"/>
        <v/>
      </c>
      <c r="AA181"/>
    </row>
    <row r="182" spans="1:27" x14ac:dyDescent="0.4">
      <c r="A182"/>
      <c r="B182"/>
      <c r="C182"/>
      <c r="D182"/>
      <c r="E182"/>
      <c r="G182"/>
      <c r="H182" s="4" t="str">
        <f t="shared" si="20"/>
        <v/>
      </c>
      <c r="I182"/>
      <c r="J182" s="4" t="str">
        <f t="shared" si="21"/>
        <v/>
      </c>
      <c r="K182"/>
      <c r="L182" s="4" t="str">
        <f t="shared" si="22"/>
        <v/>
      </c>
      <c r="M182"/>
      <c r="N182" s="4" t="str">
        <f t="shared" si="23"/>
        <v/>
      </c>
      <c r="O182"/>
      <c r="P182" s="4" t="str">
        <f t="shared" si="24"/>
        <v/>
      </c>
      <c r="Q182"/>
      <c r="R182" s="18" t="str">
        <f t="shared" si="25"/>
        <v/>
      </c>
      <c r="S182"/>
      <c r="T182" s="4" t="str">
        <f t="shared" si="26"/>
        <v/>
      </c>
      <c r="U182"/>
      <c r="V182" s="4" t="str">
        <f t="shared" si="27"/>
        <v/>
      </c>
      <c r="W182"/>
      <c r="X182" s="4" t="str">
        <f t="shared" si="28"/>
        <v/>
      </c>
      <c r="Y182"/>
      <c r="Z182" s="4" t="str">
        <f t="shared" si="29"/>
        <v/>
      </c>
      <c r="AA182"/>
    </row>
    <row r="183" spans="1:27" x14ac:dyDescent="0.4">
      <c r="A183"/>
      <c r="B183"/>
      <c r="C183"/>
      <c r="D183"/>
      <c r="E183"/>
      <c r="G183"/>
      <c r="H183" s="4" t="str">
        <f t="shared" si="20"/>
        <v/>
      </c>
      <c r="I183"/>
      <c r="J183" s="4" t="str">
        <f t="shared" si="21"/>
        <v/>
      </c>
      <c r="K183"/>
      <c r="L183" s="4" t="str">
        <f t="shared" si="22"/>
        <v/>
      </c>
      <c r="M183"/>
      <c r="N183" s="4" t="str">
        <f t="shared" si="23"/>
        <v/>
      </c>
      <c r="O183"/>
      <c r="P183" s="4" t="str">
        <f t="shared" si="24"/>
        <v/>
      </c>
      <c r="Q183"/>
      <c r="R183" s="18" t="str">
        <f t="shared" si="25"/>
        <v/>
      </c>
      <c r="S183"/>
      <c r="T183" s="4" t="str">
        <f t="shared" si="26"/>
        <v/>
      </c>
      <c r="U183"/>
      <c r="V183" s="4" t="str">
        <f t="shared" si="27"/>
        <v/>
      </c>
      <c r="W183"/>
      <c r="X183" s="4" t="str">
        <f t="shared" si="28"/>
        <v/>
      </c>
      <c r="Y183"/>
      <c r="Z183" s="4" t="str">
        <f t="shared" si="29"/>
        <v/>
      </c>
      <c r="AA183"/>
    </row>
    <row r="184" spans="1:27" x14ac:dyDescent="0.4">
      <c r="A184"/>
      <c r="B184"/>
      <c r="C184"/>
      <c r="D184"/>
      <c r="E184"/>
      <c r="G184"/>
      <c r="H184" s="4" t="str">
        <f t="shared" si="20"/>
        <v/>
      </c>
      <c r="I184"/>
      <c r="J184" s="4" t="str">
        <f t="shared" si="21"/>
        <v/>
      </c>
      <c r="K184"/>
      <c r="L184" s="4" t="str">
        <f t="shared" si="22"/>
        <v/>
      </c>
      <c r="M184"/>
      <c r="N184" s="4" t="str">
        <f t="shared" si="23"/>
        <v/>
      </c>
      <c r="O184"/>
      <c r="P184" s="4" t="str">
        <f t="shared" si="24"/>
        <v/>
      </c>
      <c r="Q184"/>
      <c r="R184" s="18" t="str">
        <f t="shared" si="25"/>
        <v/>
      </c>
      <c r="S184"/>
      <c r="T184" s="4" t="str">
        <f t="shared" si="26"/>
        <v/>
      </c>
      <c r="U184"/>
      <c r="V184" s="4" t="str">
        <f t="shared" si="27"/>
        <v/>
      </c>
      <c r="W184"/>
      <c r="X184" s="4" t="str">
        <f t="shared" si="28"/>
        <v/>
      </c>
      <c r="Y184"/>
      <c r="Z184" s="4" t="str">
        <f t="shared" si="29"/>
        <v/>
      </c>
      <c r="AA184"/>
    </row>
    <row r="185" spans="1:27" x14ac:dyDescent="0.4">
      <c r="A185"/>
      <c r="B185"/>
      <c r="C185"/>
      <c r="D185"/>
      <c r="E185"/>
      <c r="G185"/>
      <c r="H185" s="4" t="str">
        <f t="shared" si="20"/>
        <v/>
      </c>
      <c r="I185"/>
      <c r="J185" s="4" t="str">
        <f t="shared" si="21"/>
        <v/>
      </c>
      <c r="K185"/>
      <c r="L185" s="4" t="str">
        <f t="shared" si="22"/>
        <v/>
      </c>
      <c r="M185"/>
      <c r="N185" s="4" t="str">
        <f t="shared" si="23"/>
        <v/>
      </c>
      <c r="O185"/>
      <c r="P185" s="4" t="str">
        <f t="shared" si="24"/>
        <v/>
      </c>
      <c r="Q185"/>
      <c r="R185" s="18" t="str">
        <f t="shared" si="25"/>
        <v/>
      </c>
      <c r="S185"/>
      <c r="T185" s="4" t="str">
        <f t="shared" si="26"/>
        <v/>
      </c>
      <c r="U185"/>
      <c r="V185" s="4" t="str">
        <f t="shared" si="27"/>
        <v/>
      </c>
      <c r="W185"/>
      <c r="X185" s="4" t="str">
        <f t="shared" si="28"/>
        <v/>
      </c>
      <c r="Y185"/>
      <c r="Z185" s="4" t="str">
        <f t="shared" si="29"/>
        <v/>
      </c>
      <c r="AA185"/>
    </row>
    <row r="186" spans="1:27" x14ac:dyDescent="0.4">
      <c r="A186"/>
      <c r="B186"/>
      <c r="C186"/>
      <c r="D186"/>
      <c r="E186"/>
      <c r="G186"/>
      <c r="H186" s="4" t="str">
        <f t="shared" si="20"/>
        <v/>
      </c>
      <c r="I186"/>
      <c r="J186" s="4" t="str">
        <f t="shared" si="21"/>
        <v/>
      </c>
      <c r="K186"/>
      <c r="L186" s="4" t="str">
        <f t="shared" si="22"/>
        <v/>
      </c>
      <c r="M186"/>
      <c r="N186" s="4" t="str">
        <f t="shared" si="23"/>
        <v/>
      </c>
      <c r="O186"/>
      <c r="P186" s="4" t="str">
        <f t="shared" si="24"/>
        <v/>
      </c>
      <c r="Q186"/>
      <c r="R186" s="18" t="str">
        <f t="shared" si="25"/>
        <v/>
      </c>
      <c r="S186"/>
      <c r="T186" s="4" t="str">
        <f t="shared" si="26"/>
        <v/>
      </c>
      <c r="U186"/>
      <c r="V186" s="4" t="str">
        <f t="shared" si="27"/>
        <v/>
      </c>
      <c r="W186"/>
      <c r="X186" s="4" t="str">
        <f t="shared" si="28"/>
        <v/>
      </c>
      <c r="Y186"/>
      <c r="Z186" s="4" t="str">
        <f t="shared" si="29"/>
        <v/>
      </c>
      <c r="AA186"/>
    </row>
    <row r="187" spans="1:27" x14ac:dyDescent="0.4">
      <c r="A187"/>
      <c r="B187"/>
      <c r="C187"/>
      <c r="D187"/>
      <c r="E187"/>
      <c r="G187"/>
      <c r="H187" s="4" t="str">
        <f t="shared" si="20"/>
        <v/>
      </c>
      <c r="I187"/>
      <c r="J187" s="4" t="str">
        <f t="shared" si="21"/>
        <v/>
      </c>
      <c r="K187"/>
      <c r="L187" s="4" t="str">
        <f t="shared" si="22"/>
        <v/>
      </c>
      <c r="M187"/>
      <c r="N187" s="4" t="str">
        <f t="shared" si="23"/>
        <v/>
      </c>
      <c r="O187"/>
      <c r="P187" s="4" t="str">
        <f t="shared" si="24"/>
        <v/>
      </c>
      <c r="Q187"/>
      <c r="R187" s="18" t="str">
        <f t="shared" si="25"/>
        <v/>
      </c>
      <c r="S187"/>
      <c r="T187" s="4" t="str">
        <f t="shared" si="26"/>
        <v/>
      </c>
      <c r="U187"/>
      <c r="V187" s="4" t="str">
        <f t="shared" si="27"/>
        <v/>
      </c>
      <c r="W187"/>
      <c r="X187" s="4" t="str">
        <f t="shared" si="28"/>
        <v/>
      </c>
      <c r="Y187"/>
      <c r="Z187" s="4" t="str">
        <f t="shared" si="29"/>
        <v/>
      </c>
      <c r="AA187"/>
    </row>
    <row r="188" spans="1:27" x14ac:dyDescent="0.4">
      <c r="A188"/>
      <c r="B188"/>
      <c r="C188"/>
      <c r="D188"/>
      <c r="E188"/>
      <c r="G188"/>
      <c r="H188" s="4" t="str">
        <f t="shared" si="20"/>
        <v/>
      </c>
      <c r="I188"/>
      <c r="J188" s="4" t="str">
        <f t="shared" si="21"/>
        <v/>
      </c>
      <c r="K188"/>
      <c r="L188" s="4" t="str">
        <f t="shared" si="22"/>
        <v/>
      </c>
      <c r="M188"/>
      <c r="N188" s="4" t="str">
        <f t="shared" si="23"/>
        <v/>
      </c>
      <c r="O188"/>
      <c r="P188" s="4" t="str">
        <f t="shared" si="24"/>
        <v/>
      </c>
      <c r="Q188"/>
      <c r="R188" s="18" t="str">
        <f t="shared" si="25"/>
        <v/>
      </c>
      <c r="S188"/>
      <c r="T188" s="4" t="str">
        <f t="shared" si="26"/>
        <v/>
      </c>
      <c r="U188"/>
      <c r="V188" s="4" t="str">
        <f t="shared" si="27"/>
        <v/>
      </c>
      <c r="W188"/>
      <c r="X188" s="4" t="str">
        <f t="shared" si="28"/>
        <v/>
      </c>
      <c r="Y188"/>
      <c r="Z188" s="4" t="str">
        <f t="shared" si="29"/>
        <v/>
      </c>
      <c r="AA188"/>
    </row>
    <row r="189" spans="1:27" x14ac:dyDescent="0.4">
      <c r="A189"/>
      <c r="B189"/>
      <c r="C189"/>
      <c r="D189"/>
      <c r="E189"/>
      <c r="G189"/>
      <c r="H189" s="4" t="str">
        <f t="shared" si="20"/>
        <v/>
      </c>
      <c r="I189"/>
      <c r="J189" s="4" t="str">
        <f t="shared" si="21"/>
        <v/>
      </c>
      <c r="K189"/>
      <c r="L189" s="4" t="str">
        <f t="shared" si="22"/>
        <v/>
      </c>
      <c r="M189"/>
      <c r="N189" s="4" t="str">
        <f t="shared" si="23"/>
        <v/>
      </c>
      <c r="O189"/>
      <c r="P189" s="4" t="str">
        <f t="shared" si="24"/>
        <v/>
      </c>
      <c r="Q189"/>
      <c r="R189" s="18" t="str">
        <f t="shared" si="25"/>
        <v/>
      </c>
      <c r="S189"/>
      <c r="T189" s="4" t="str">
        <f t="shared" si="26"/>
        <v/>
      </c>
      <c r="U189"/>
      <c r="V189" s="4" t="str">
        <f t="shared" si="27"/>
        <v/>
      </c>
      <c r="W189"/>
      <c r="X189" s="4" t="str">
        <f t="shared" si="28"/>
        <v/>
      </c>
      <c r="Y189"/>
      <c r="Z189" s="4" t="str">
        <f t="shared" si="29"/>
        <v/>
      </c>
      <c r="AA189"/>
    </row>
    <row r="190" spans="1:27" x14ac:dyDescent="0.4">
      <c r="A190"/>
      <c r="B190"/>
      <c r="C190"/>
      <c r="D190"/>
      <c r="E190"/>
      <c r="G190"/>
      <c r="H190" s="4" t="str">
        <f t="shared" si="20"/>
        <v/>
      </c>
      <c r="I190"/>
      <c r="J190" s="4" t="str">
        <f t="shared" si="21"/>
        <v/>
      </c>
      <c r="K190"/>
      <c r="L190" s="4" t="str">
        <f t="shared" si="22"/>
        <v/>
      </c>
      <c r="M190"/>
      <c r="N190" s="4" t="str">
        <f t="shared" si="23"/>
        <v/>
      </c>
      <c r="O190"/>
      <c r="P190" s="4" t="str">
        <f t="shared" si="24"/>
        <v/>
      </c>
      <c r="Q190"/>
      <c r="R190" s="18" t="str">
        <f t="shared" si="25"/>
        <v/>
      </c>
      <c r="S190"/>
      <c r="T190" s="4" t="str">
        <f t="shared" si="26"/>
        <v/>
      </c>
      <c r="U190"/>
      <c r="V190" s="4" t="str">
        <f t="shared" si="27"/>
        <v/>
      </c>
      <c r="W190"/>
      <c r="X190" s="4" t="str">
        <f t="shared" si="28"/>
        <v/>
      </c>
      <c r="Y190"/>
      <c r="Z190" s="4" t="str">
        <f t="shared" si="29"/>
        <v/>
      </c>
      <c r="AA190"/>
    </row>
    <row r="191" spans="1:27" x14ac:dyDescent="0.4">
      <c r="A191"/>
      <c r="B191"/>
      <c r="C191"/>
      <c r="D191"/>
      <c r="E191"/>
      <c r="G191"/>
      <c r="H191" s="4" t="str">
        <f t="shared" si="20"/>
        <v/>
      </c>
      <c r="I191"/>
      <c r="J191" s="4" t="str">
        <f t="shared" si="21"/>
        <v/>
      </c>
      <c r="K191"/>
      <c r="L191" s="4" t="str">
        <f t="shared" si="22"/>
        <v/>
      </c>
      <c r="M191"/>
      <c r="N191" s="4" t="str">
        <f t="shared" si="23"/>
        <v/>
      </c>
      <c r="O191"/>
      <c r="P191" s="4" t="str">
        <f t="shared" si="24"/>
        <v/>
      </c>
      <c r="Q191"/>
      <c r="R191" s="18" t="str">
        <f t="shared" si="25"/>
        <v/>
      </c>
      <c r="S191"/>
      <c r="T191" s="4" t="str">
        <f t="shared" si="26"/>
        <v/>
      </c>
      <c r="U191"/>
      <c r="V191" s="4" t="str">
        <f t="shared" si="27"/>
        <v/>
      </c>
      <c r="W191"/>
      <c r="X191" s="4" t="str">
        <f t="shared" si="28"/>
        <v/>
      </c>
      <c r="Y191"/>
      <c r="Z191" s="4" t="str">
        <f t="shared" si="29"/>
        <v/>
      </c>
      <c r="AA191"/>
    </row>
    <row r="192" spans="1:27" x14ac:dyDescent="0.4">
      <c r="A192"/>
      <c r="B192"/>
      <c r="C192"/>
      <c r="D192"/>
      <c r="E192"/>
      <c r="G192"/>
      <c r="H192" s="4" t="str">
        <f t="shared" si="20"/>
        <v/>
      </c>
      <c r="I192"/>
      <c r="J192" s="4" t="str">
        <f t="shared" si="21"/>
        <v/>
      </c>
      <c r="K192"/>
      <c r="L192" s="4" t="str">
        <f t="shared" si="22"/>
        <v/>
      </c>
      <c r="M192"/>
      <c r="N192" s="4" t="str">
        <f t="shared" si="23"/>
        <v/>
      </c>
      <c r="O192"/>
      <c r="P192" s="4" t="str">
        <f t="shared" si="24"/>
        <v/>
      </c>
      <c r="Q192"/>
      <c r="R192" s="18" t="str">
        <f t="shared" si="25"/>
        <v/>
      </c>
      <c r="S192"/>
      <c r="T192" s="4" t="str">
        <f t="shared" si="26"/>
        <v/>
      </c>
      <c r="U192"/>
      <c r="V192" s="4" t="str">
        <f t="shared" si="27"/>
        <v/>
      </c>
      <c r="W192"/>
      <c r="X192" s="4" t="str">
        <f t="shared" si="28"/>
        <v/>
      </c>
      <c r="Y192"/>
      <c r="Z192" s="4" t="str">
        <f t="shared" si="29"/>
        <v/>
      </c>
      <c r="AA192"/>
    </row>
    <row r="193" spans="1:27" x14ac:dyDescent="0.4">
      <c r="A193"/>
      <c r="B193"/>
      <c r="C193"/>
      <c r="D193"/>
      <c r="E193"/>
      <c r="G193"/>
      <c r="H193" s="4" t="str">
        <f t="shared" si="20"/>
        <v/>
      </c>
      <c r="I193"/>
      <c r="J193" s="4" t="str">
        <f t="shared" si="21"/>
        <v/>
      </c>
      <c r="K193"/>
      <c r="L193" s="4" t="str">
        <f t="shared" si="22"/>
        <v/>
      </c>
      <c r="M193"/>
      <c r="N193" s="4" t="str">
        <f t="shared" si="23"/>
        <v/>
      </c>
      <c r="O193"/>
      <c r="P193" s="4" t="str">
        <f t="shared" si="24"/>
        <v/>
      </c>
      <c r="Q193"/>
      <c r="R193" s="18" t="str">
        <f t="shared" si="25"/>
        <v/>
      </c>
      <c r="S193"/>
      <c r="T193" s="4" t="str">
        <f t="shared" si="26"/>
        <v/>
      </c>
      <c r="U193"/>
      <c r="V193" s="4" t="str">
        <f t="shared" si="27"/>
        <v/>
      </c>
      <c r="W193"/>
      <c r="X193" s="4" t="str">
        <f t="shared" si="28"/>
        <v/>
      </c>
      <c r="Y193"/>
      <c r="Z193" s="4" t="str">
        <f t="shared" si="29"/>
        <v/>
      </c>
      <c r="AA193"/>
    </row>
    <row r="194" spans="1:27" x14ac:dyDescent="0.4">
      <c r="A194"/>
      <c r="B194"/>
      <c r="C194"/>
      <c r="D194"/>
      <c r="E194"/>
      <c r="G194"/>
      <c r="H194" s="4" t="str">
        <f t="shared" si="20"/>
        <v/>
      </c>
      <c r="I194"/>
      <c r="J194" s="4" t="str">
        <f t="shared" si="21"/>
        <v/>
      </c>
      <c r="K194"/>
      <c r="L194" s="4" t="str">
        <f t="shared" si="22"/>
        <v/>
      </c>
      <c r="M194"/>
      <c r="N194" s="4" t="str">
        <f t="shared" si="23"/>
        <v/>
      </c>
      <c r="O194"/>
      <c r="P194" s="4" t="str">
        <f t="shared" si="24"/>
        <v/>
      </c>
      <c r="Q194"/>
      <c r="R194" s="18" t="str">
        <f t="shared" si="25"/>
        <v/>
      </c>
      <c r="S194"/>
      <c r="T194" s="4" t="str">
        <f t="shared" si="26"/>
        <v/>
      </c>
      <c r="U194"/>
      <c r="V194" s="4" t="str">
        <f t="shared" si="27"/>
        <v/>
      </c>
      <c r="W194"/>
      <c r="X194" s="4" t="str">
        <f t="shared" si="28"/>
        <v/>
      </c>
      <c r="Y194"/>
      <c r="Z194" s="4" t="str">
        <f t="shared" si="29"/>
        <v/>
      </c>
      <c r="AA194"/>
    </row>
    <row r="195" spans="1:27" x14ac:dyDescent="0.4">
      <c r="A195"/>
      <c r="B195"/>
      <c r="C195"/>
      <c r="D195"/>
      <c r="E195"/>
      <c r="G195"/>
      <c r="H195" s="4" t="str">
        <f t="shared" si="20"/>
        <v/>
      </c>
      <c r="I195"/>
      <c r="J195" s="4" t="str">
        <f t="shared" si="21"/>
        <v/>
      </c>
      <c r="K195"/>
      <c r="L195" s="4" t="str">
        <f t="shared" si="22"/>
        <v/>
      </c>
      <c r="M195"/>
      <c r="N195" s="4" t="str">
        <f t="shared" si="23"/>
        <v/>
      </c>
      <c r="O195"/>
      <c r="P195" s="4" t="str">
        <f t="shared" si="24"/>
        <v/>
      </c>
      <c r="Q195"/>
      <c r="R195" s="18" t="str">
        <f t="shared" si="25"/>
        <v/>
      </c>
      <c r="S195"/>
      <c r="T195" s="4" t="str">
        <f t="shared" si="26"/>
        <v/>
      </c>
      <c r="U195"/>
      <c r="V195" s="4" t="str">
        <f t="shared" si="27"/>
        <v/>
      </c>
      <c r="W195"/>
      <c r="X195" s="4" t="str">
        <f t="shared" si="28"/>
        <v/>
      </c>
      <c r="Y195"/>
      <c r="Z195" s="4" t="str">
        <f t="shared" si="29"/>
        <v/>
      </c>
      <c r="AA195"/>
    </row>
    <row r="196" spans="1:27" x14ac:dyDescent="0.4">
      <c r="A196"/>
      <c r="B196"/>
      <c r="C196"/>
      <c r="D196"/>
      <c r="E196"/>
      <c r="G196"/>
      <c r="H196" s="4" t="str">
        <f t="shared" si="20"/>
        <v/>
      </c>
      <c r="I196"/>
      <c r="J196" s="4" t="str">
        <f t="shared" si="21"/>
        <v/>
      </c>
      <c r="K196"/>
      <c r="L196" s="4" t="str">
        <f t="shared" si="22"/>
        <v/>
      </c>
      <c r="M196"/>
      <c r="N196" s="4" t="str">
        <f t="shared" si="23"/>
        <v/>
      </c>
      <c r="O196"/>
      <c r="P196" s="4" t="str">
        <f t="shared" si="24"/>
        <v/>
      </c>
      <c r="Q196"/>
      <c r="R196" s="18" t="str">
        <f t="shared" si="25"/>
        <v/>
      </c>
      <c r="S196"/>
      <c r="T196" s="4" t="str">
        <f t="shared" si="26"/>
        <v/>
      </c>
      <c r="U196"/>
      <c r="V196" s="4" t="str">
        <f t="shared" si="27"/>
        <v/>
      </c>
      <c r="W196"/>
      <c r="X196" s="4" t="str">
        <f t="shared" si="28"/>
        <v/>
      </c>
      <c r="Y196"/>
      <c r="Z196" s="4" t="str">
        <f t="shared" si="29"/>
        <v/>
      </c>
      <c r="AA196"/>
    </row>
    <row r="197" spans="1:27" x14ac:dyDescent="0.4">
      <c r="A197"/>
      <c r="B197"/>
      <c r="C197"/>
      <c r="D197"/>
      <c r="E197"/>
      <c r="G197"/>
      <c r="H197" s="4" t="str">
        <f t="shared" si="20"/>
        <v/>
      </c>
      <c r="I197"/>
      <c r="J197" s="4" t="str">
        <f t="shared" si="21"/>
        <v/>
      </c>
      <c r="K197"/>
      <c r="L197" s="4" t="str">
        <f t="shared" si="22"/>
        <v/>
      </c>
      <c r="M197"/>
      <c r="N197" s="4" t="str">
        <f t="shared" si="23"/>
        <v/>
      </c>
      <c r="O197"/>
      <c r="P197" s="4" t="str">
        <f t="shared" si="24"/>
        <v/>
      </c>
      <c r="Q197"/>
      <c r="R197" s="18" t="str">
        <f t="shared" si="25"/>
        <v/>
      </c>
      <c r="S197"/>
      <c r="T197" s="4" t="str">
        <f t="shared" si="26"/>
        <v/>
      </c>
      <c r="U197"/>
      <c r="V197" s="4" t="str">
        <f t="shared" si="27"/>
        <v/>
      </c>
      <c r="W197"/>
      <c r="X197" s="4" t="str">
        <f t="shared" si="28"/>
        <v/>
      </c>
      <c r="Y197"/>
      <c r="Z197" s="4" t="str">
        <f t="shared" si="29"/>
        <v/>
      </c>
      <c r="AA197"/>
    </row>
    <row r="198" spans="1:27" x14ac:dyDescent="0.4">
      <c r="A198"/>
      <c r="B198"/>
      <c r="C198"/>
      <c r="D198"/>
      <c r="E198"/>
      <c r="G198"/>
      <c r="H198" s="4" t="str">
        <f t="shared" si="20"/>
        <v/>
      </c>
      <c r="I198"/>
      <c r="J198" s="4" t="str">
        <f t="shared" si="21"/>
        <v/>
      </c>
      <c r="K198"/>
      <c r="L198" s="4" t="str">
        <f t="shared" si="22"/>
        <v/>
      </c>
      <c r="M198"/>
      <c r="N198" s="4" t="str">
        <f t="shared" si="23"/>
        <v/>
      </c>
      <c r="O198"/>
      <c r="P198" s="4" t="str">
        <f t="shared" si="24"/>
        <v/>
      </c>
      <c r="Q198"/>
      <c r="R198" s="18" t="str">
        <f t="shared" si="25"/>
        <v/>
      </c>
      <c r="S198"/>
      <c r="T198" s="4" t="str">
        <f t="shared" si="26"/>
        <v/>
      </c>
      <c r="U198"/>
      <c r="V198" s="4" t="str">
        <f t="shared" si="27"/>
        <v/>
      </c>
      <c r="W198"/>
      <c r="X198" s="4" t="str">
        <f t="shared" si="28"/>
        <v/>
      </c>
      <c r="Y198"/>
      <c r="Z198" s="4" t="str">
        <f t="shared" si="29"/>
        <v/>
      </c>
      <c r="AA198"/>
    </row>
    <row r="199" spans="1:27" x14ac:dyDescent="0.4">
      <c r="A199"/>
      <c r="B199"/>
      <c r="C199"/>
      <c r="D199"/>
      <c r="E199"/>
      <c r="G199"/>
      <c r="H199" s="4" t="str">
        <f t="shared" si="20"/>
        <v/>
      </c>
      <c r="I199"/>
      <c r="J199" s="4" t="str">
        <f t="shared" si="21"/>
        <v/>
      </c>
      <c r="K199"/>
      <c r="L199" s="4" t="str">
        <f t="shared" si="22"/>
        <v/>
      </c>
      <c r="M199"/>
      <c r="N199" s="4" t="str">
        <f t="shared" si="23"/>
        <v/>
      </c>
      <c r="O199"/>
      <c r="P199" s="4" t="str">
        <f t="shared" si="24"/>
        <v/>
      </c>
      <c r="Q199"/>
      <c r="R199" s="18" t="str">
        <f t="shared" si="25"/>
        <v/>
      </c>
      <c r="S199"/>
      <c r="T199" s="4" t="str">
        <f t="shared" si="26"/>
        <v/>
      </c>
      <c r="U199"/>
      <c r="V199" s="4" t="str">
        <f t="shared" si="27"/>
        <v/>
      </c>
      <c r="W199"/>
      <c r="X199" s="4" t="str">
        <f t="shared" si="28"/>
        <v/>
      </c>
      <c r="Y199"/>
      <c r="Z199" s="4" t="str">
        <f t="shared" si="29"/>
        <v/>
      </c>
      <c r="AA199"/>
    </row>
    <row r="200" spans="1:27" x14ac:dyDescent="0.4">
      <c r="A200"/>
      <c r="B200"/>
      <c r="C200"/>
      <c r="D200"/>
      <c r="E200"/>
      <c r="G200"/>
      <c r="H200" s="4" t="str">
        <f t="shared" si="20"/>
        <v/>
      </c>
      <c r="I200"/>
      <c r="J200" s="4" t="str">
        <f t="shared" si="21"/>
        <v/>
      </c>
      <c r="K200"/>
      <c r="L200" s="4" t="str">
        <f t="shared" si="22"/>
        <v/>
      </c>
      <c r="M200"/>
      <c r="N200" s="4" t="str">
        <f t="shared" si="23"/>
        <v/>
      </c>
      <c r="O200"/>
      <c r="P200" s="4" t="str">
        <f t="shared" si="24"/>
        <v/>
      </c>
      <c r="Q200"/>
      <c r="R200" s="18" t="str">
        <f t="shared" si="25"/>
        <v/>
      </c>
      <c r="S200"/>
      <c r="T200" s="4" t="str">
        <f t="shared" si="26"/>
        <v/>
      </c>
      <c r="U200"/>
      <c r="V200" s="4" t="str">
        <f t="shared" si="27"/>
        <v/>
      </c>
      <c r="W200"/>
      <c r="X200" s="4" t="str">
        <f t="shared" si="28"/>
        <v/>
      </c>
      <c r="Y200"/>
      <c r="Z200" s="4" t="str">
        <f t="shared" si="29"/>
        <v/>
      </c>
      <c r="AA200"/>
    </row>
    <row r="201" spans="1:27" x14ac:dyDescent="0.4">
      <c r="A201"/>
      <c r="B201"/>
      <c r="C201"/>
      <c r="D201"/>
      <c r="E201"/>
      <c r="G201"/>
      <c r="H201" s="4" t="str">
        <f t="shared" si="20"/>
        <v/>
      </c>
      <c r="I201"/>
      <c r="J201" s="4" t="str">
        <f t="shared" si="21"/>
        <v/>
      </c>
      <c r="K201"/>
      <c r="L201" s="4" t="str">
        <f t="shared" si="22"/>
        <v/>
      </c>
      <c r="M201"/>
      <c r="N201" s="4" t="str">
        <f t="shared" si="23"/>
        <v/>
      </c>
      <c r="O201"/>
      <c r="P201" s="4" t="str">
        <f t="shared" si="24"/>
        <v/>
      </c>
      <c r="Q201"/>
      <c r="R201" s="18" t="str">
        <f t="shared" si="25"/>
        <v/>
      </c>
      <c r="S201"/>
      <c r="T201" s="4" t="str">
        <f t="shared" si="26"/>
        <v/>
      </c>
      <c r="U201"/>
      <c r="V201" s="4" t="str">
        <f t="shared" si="27"/>
        <v/>
      </c>
      <c r="W201"/>
      <c r="X201" s="4" t="str">
        <f t="shared" si="28"/>
        <v/>
      </c>
      <c r="Y201"/>
      <c r="Z201" s="4" t="str">
        <f t="shared" si="29"/>
        <v/>
      </c>
      <c r="AA201"/>
    </row>
    <row r="202" spans="1:27" x14ac:dyDescent="0.4">
      <c r="A202"/>
      <c r="B202"/>
      <c r="C202"/>
      <c r="D202"/>
      <c r="E202"/>
      <c r="G202"/>
      <c r="H202" s="4" t="str">
        <f t="shared" si="20"/>
        <v/>
      </c>
      <c r="I202"/>
      <c r="J202" s="4" t="str">
        <f t="shared" si="21"/>
        <v/>
      </c>
      <c r="K202"/>
      <c r="L202" s="4" t="str">
        <f t="shared" si="22"/>
        <v/>
      </c>
      <c r="M202"/>
      <c r="N202" s="4" t="str">
        <f t="shared" si="23"/>
        <v/>
      </c>
      <c r="O202"/>
      <c r="P202" s="4" t="str">
        <f t="shared" si="24"/>
        <v/>
      </c>
      <c r="Q202"/>
      <c r="R202" s="18" t="str">
        <f t="shared" si="25"/>
        <v/>
      </c>
      <c r="S202"/>
      <c r="T202" s="4" t="str">
        <f t="shared" si="26"/>
        <v/>
      </c>
      <c r="U202"/>
      <c r="V202" s="4" t="str">
        <f t="shared" si="27"/>
        <v/>
      </c>
      <c r="W202"/>
      <c r="X202" s="4" t="str">
        <f t="shared" si="28"/>
        <v/>
      </c>
      <c r="Y202"/>
      <c r="Z202" s="4" t="str">
        <f t="shared" si="29"/>
        <v/>
      </c>
      <c r="AA202"/>
    </row>
    <row r="203" spans="1:27" x14ac:dyDescent="0.4">
      <c r="A203"/>
      <c r="B203"/>
      <c r="C203"/>
      <c r="D203"/>
      <c r="E203"/>
      <c r="G203"/>
      <c r="H203" s="4" t="str">
        <f t="shared" si="20"/>
        <v/>
      </c>
      <c r="I203"/>
      <c r="J203" s="4" t="str">
        <f t="shared" si="21"/>
        <v/>
      </c>
      <c r="K203"/>
      <c r="L203" s="4" t="str">
        <f t="shared" si="22"/>
        <v/>
      </c>
      <c r="M203"/>
      <c r="N203" s="4" t="str">
        <f t="shared" si="23"/>
        <v/>
      </c>
      <c r="O203"/>
      <c r="P203" s="4" t="str">
        <f t="shared" si="24"/>
        <v/>
      </c>
      <c r="Q203"/>
      <c r="R203" s="18" t="str">
        <f t="shared" si="25"/>
        <v/>
      </c>
      <c r="S203"/>
      <c r="T203" s="4" t="str">
        <f t="shared" si="26"/>
        <v/>
      </c>
      <c r="U203"/>
      <c r="V203" s="4" t="str">
        <f t="shared" si="27"/>
        <v/>
      </c>
      <c r="W203"/>
      <c r="X203" s="4" t="str">
        <f t="shared" si="28"/>
        <v/>
      </c>
      <c r="Y203"/>
      <c r="Z203" s="4" t="str">
        <f t="shared" si="29"/>
        <v/>
      </c>
      <c r="AA203"/>
    </row>
    <row r="204" spans="1:27" x14ac:dyDescent="0.4">
      <c r="A204"/>
      <c r="B204"/>
      <c r="C204"/>
      <c r="D204"/>
      <c r="E204"/>
      <c r="G204"/>
      <c r="H204" s="4" t="str">
        <f t="shared" ref="H204:H205" si="30">IF(G204="", "", IF(G204="非常に満足", 100, IF(G204="やや満足", 75, IF(G204="どちらともいえない", 50, IF(G204="やや不満", 25, IF(G204="非常に不満", 0, ""))))))</f>
        <v/>
      </c>
      <c r="I204"/>
      <c r="J204" s="4" t="str">
        <f t="shared" ref="J204:J205" si="31">IF(I204="", "", IF(I204="非常に満足", 100, IF(I204="やや満足", 75, IF(I204="どちらともいえない", 50, IF(I204="やや不満", 25, IF(I204="非常に不満", 0, ""))))))</f>
        <v/>
      </c>
      <c r="K204"/>
      <c r="L204" s="4" t="str">
        <f t="shared" ref="L204:L205" si="32">IF(K204="", "", IF(K204="非常に満足", 100, IF(K204="やや満足", 75, IF(K204="どちらともいえない", 50, IF(K204="やや不満", 25, IF(K204="非常に不満", 0, ""))))))</f>
        <v/>
      </c>
      <c r="M204"/>
      <c r="N204" s="4" t="str">
        <f t="shared" ref="N204:N205" si="33">IF(M204="", "", IF(M204="非常に満足", 100, IF(M204="やや満足", 75, IF(M204="どちらともいえない", 50, IF(M204="やや不満", 25, IF(M204="非常に不満", 0, ""))))))</f>
        <v/>
      </c>
      <c r="O204"/>
      <c r="P204" s="4" t="str">
        <f t="shared" ref="P204:P205" si="34">IF(O204="", "", IF(O204="非常に満足", 100, IF(O204="やや満足", 75, IF(O204="どちらともいえない", 50, IF(O204="やや不満", 25, IF(O204="非常に不満", 0, ""))))))</f>
        <v/>
      </c>
      <c r="Q204"/>
      <c r="R204" s="18" t="str">
        <f t="shared" ref="R204:R205" si="35">IF(Q204="", "", IF(Q204="非常に重要である", 100, IF(Q204="やや重要である", 75, IF(Q204="どちらともいえない", 50, IF(Q204="あまり重要でない", 25, IF(Q204="全く重要でない", 0, ""))))))</f>
        <v/>
      </c>
      <c r="S204"/>
      <c r="T204" s="4" t="str">
        <f t="shared" ref="T204:T205" si="36">IF(S204="", "", IF(S204="非常に重要である", 100, IF(S204="やや重要である", 75, IF(S204="どちらともいえない", 50, IF(S204="あまり重要でない", 25, IF(S204="全く重要でない", 0, ""))))))</f>
        <v/>
      </c>
      <c r="U204"/>
      <c r="V204" s="4" t="str">
        <f t="shared" ref="V204:V205" si="37">IF(U204="", "", IF(U204="非常に重要である", 100, IF(U204="やや重要である", 75, IF(U204="どちらともいえない", 50, IF(U204="あまり重要でない", 25, IF(U204="全く重要でない", 0, ""))))))</f>
        <v/>
      </c>
      <c r="W204"/>
      <c r="X204" s="4" t="str">
        <f t="shared" ref="X204:X205" si="38">IF(W204="", "", IF(W204="非常に重要である", 100, IF(W204="やや重要である", 75, IF(W204="どちらともいえない", 50, IF(W204="あまり重要でない", 25, IF(W204="全く重要でない", 0, ""))))))</f>
        <v/>
      </c>
      <c r="Y204"/>
      <c r="Z204" s="4" t="str">
        <f t="shared" ref="Z204:Z205" si="39">IF(Y204="", "", IF(Y204="ぜひ利用したい", 100, IF(Y204="まあ利用したい", 66.6, IF(Y204="どちらともいえない", 33.3, IF(Y204="あまり利用したくない", 0, IF(Y204="全く利用したくない", 0, ""))))))</f>
        <v/>
      </c>
      <c r="AA204"/>
    </row>
    <row r="205" spans="1:27" x14ac:dyDescent="0.4">
      <c r="A205"/>
      <c r="B205"/>
      <c r="C205"/>
      <c r="D205"/>
      <c r="E205"/>
      <c r="G205"/>
      <c r="H205" s="4" t="str">
        <f t="shared" si="30"/>
        <v/>
      </c>
      <c r="I205"/>
      <c r="J205" s="4" t="str">
        <f t="shared" si="31"/>
        <v/>
      </c>
      <c r="K205"/>
      <c r="L205" s="4" t="str">
        <f t="shared" si="32"/>
        <v/>
      </c>
      <c r="M205"/>
      <c r="N205" s="4" t="str">
        <f t="shared" si="33"/>
        <v/>
      </c>
      <c r="O205"/>
      <c r="P205" s="4" t="str">
        <f t="shared" si="34"/>
        <v/>
      </c>
      <c r="Q205"/>
      <c r="R205" s="18" t="str">
        <f t="shared" si="35"/>
        <v/>
      </c>
      <c r="S205"/>
      <c r="T205" s="4" t="str">
        <f t="shared" si="36"/>
        <v/>
      </c>
      <c r="U205"/>
      <c r="V205" s="4" t="str">
        <f t="shared" si="37"/>
        <v/>
      </c>
      <c r="W205"/>
      <c r="X205" s="4" t="str">
        <f t="shared" si="38"/>
        <v/>
      </c>
      <c r="Y205"/>
      <c r="Z205" s="4" t="str">
        <f t="shared" si="39"/>
        <v/>
      </c>
      <c r="AA205"/>
    </row>
  </sheetData>
  <autoFilter ref="A10:AA205"/>
  <mergeCells count="24">
    <mergeCell ref="O3:P3"/>
    <mergeCell ref="S2:T2"/>
    <mergeCell ref="S3:T3"/>
    <mergeCell ref="A7:B7"/>
    <mergeCell ref="A3:B3"/>
    <mergeCell ref="A4:B4"/>
    <mergeCell ref="G2:H2"/>
    <mergeCell ref="G3:H3"/>
    <mergeCell ref="W2:X2"/>
    <mergeCell ref="W3:X3"/>
    <mergeCell ref="Y2:Z2"/>
    <mergeCell ref="Y3:Z3"/>
    <mergeCell ref="A6:B6"/>
    <mergeCell ref="I2:J2"/>
    <mergeCell ref="I3:J3"/>
    <mergeCell ref="U2:V2"/>
    <mergeCell ref="U3:V3"/>
    <mergeCell ref="K2:L2"/>
    <mergeCell ref="K3:L3"/>
    <mergeCell ref="M2:N2"/>
    <mergeCell ref="M3:N3"/>
    <mergeCell ref="Q2:R2"/>
    <mergeCell ref="Q3:R3"/>
    <mergeCell ref="O2:P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showPath">
          <controlPr defaultSize="0" autoLine="0" autoPict="0" r:id="rId5">
            <anchor moveWithCells="1">
              <from>
                <xdr:col>0</xdr:col>
                <xdr:colOff>19050</xdr:colOff>
                <xdr:row>0</xdr:row>
                <xdr:rowOff>123825</xdr:rowOff>
              </from>
              <to>
                <xdr:col>4</xdr:col>
                <xdr:colOff>695325</xdr:colOff>
                <xdr:row>1</xdr:row>
                <xdr:rowOff>114300</xdr:rowOff>
              </to>
            </anchor>
          </controlPr>
        </control>
      </mc:Choice>
      <mc:Fallback>
        <control shapeId="1033" r:id="rId4" name="showPath"/>
      </mc:Fallback>
    </mc:AlternateContent>
    <mc:AlternateContent xmlns:mc="http://schemas.openxmlformats.org/markup-compatibility/2006">
      <mc:Choice Requires="x14">
        <control shapeId="1029" r:id="rId6" name="modifyButton">
          <controlPr defaultSize="0" autoLine="0" r:id="rId7">
            <anchor moveWithCells="1">
              <from>
                <xdr:col>4</xdr:col>
                <xdr:colOff>152400</xdr:colOff>
                <xdr:row>7</xdr:row>
                <xdr:rowOff>28575</xdr:rowOff>
              </from>
              <to>
                <xdr:col>4</xdr:col>
                <xdr:colOff>1019175</xdr:colOff>
                <xdr:row>8</xdr:row>
                <xdr:rowOff>114300</xdr:rowOff>
              </to>
            </anchor>
          </controlPr>
        </control>
      </mc:Choice>
      <mc:Fallback>
        <control shapeId="1029" r:id="rId6" name="modifyButton"/>
      </mc:Fallback>
    </mc:AlternateContent>
    <mc:AlternateContent xmlns:mc="http://schemas.openxmlformats.org/markup-compatibility/2006">
      <mc:Choice Requires="x14">
        <control shapeId="1026" r:id="rId8" name="showFormButton">
          <controlPr defaultSize="0" autoLine="0" r:id="rId9">
            <anchor moveWithCells="1">
              <from>
                <xdr:col>4</xdr:col>
                <xdr:colOff>790575</xdr:colOff>
                <xdr:row>0</xdr:row>
                <xdr:rowOff>85725</xdr:rowOff>
              </from>
              <to>
                <xdr:col>4</xdr:col>
                <xdr:colOff>1562100</xdr:colOff>
                <xdr:row>1</xdr:row>
                <xdr:rowOff>142875</xdr:rowOff>
              </to>
            </anchor>
          </controlPr>
        </control>
      </mc:Choice>
      <mc:Fallback>
        <control shapeId="1026" r:id="rId8" name="showFormButton"/>
      </mc:Fallback>
    </mc:AlternateContent>
    <mc:AlternateContent xmlns:mc="http://schemas.openxmlformats.org/markup-compatibility/2006">
      <mc:Choice Requires="x14">
        <control shapeId="1035" r:id="rId10" name="showGraphButton">
          <controlPr defaultSize="0" autoLine="0" r:id="rId11">
            <anchor moveWithCells="1">
              <from>
                <xdr:col>4</xdr:col>
                <xdr:colOff>1552575</xdr:colOff>
                <xdr:row>3</xdr:row>
                <xdr:rowOff>85725</xdr:rowOff>
              </from>
              <to>
                <xdr:col>5</xdr:col>
                <xdr:colOff>1095375</xdr:colOff>
                <xdr:row>4</xdr:row>
                <xdr:rowOff>152400</xdr:rowOff>
              </to>
            </anchor>
          </controlPr>
        </control>
      </mc:Choice>
      <mc:Fallback>
        <control shapeId="1035" r:id="rId10" name="showGraphButton"/>
      </mc:Fallback>
    </mc:AlternateContent>
    <mc:AlternateContent xmlns:mc="http://schemas.openxmlformats.org/markup-compatibility/2006">
      <mc:Choice Requires="x14">
        <control shapeId="1037" r:id="rId12" name="showComentButton">
          <controlPr defaultSize="0" autoLine="0" r:id="rId13">
            <anchor moveWithCells="1">
              <from>
                <xdr:col>4</xdr:col>
                <xdr:colOff>1552575</xdr:colOff>
                <xdr:row>4</xdr:row>
                <xdr:rowOff>228600</xdr:rowOff>
              </from>
              <to>
                <xdr:col>5</xdr:col>
                <xdr:colOff>1095375</xdr:colOff>
                <xdr:row>6</xdr:row>
                <xdr:rowOff>66675</xdr:rowOff>
              </to>
            </anchor>
          </controlPr>
        </control>
      </mc:Choice>
      <mc:Fallback>
        <control shapeId="1037" r:id="rId12" name="showComentButton"/>
      </mc:Fallback>
    </mc:AlternateContent>
    <mc:AlternateContent xmlns:mc="http://schemas.openxmlformats.org/markup-compatibility/2006">
      <mc:Choice Requires="x14">
        <control shapeId="1038" r:id="rId14" name="clearFilterButton">
          <controlPr defaultSize="0" autoLine="0" r:id="rId15">
            <anchor moveWithCells="1">
              <from>
                <xdr:col>4</xdr:col>
                <xdr:colOff>1552575</xdr:colOff>
                <xdr:row>6</xdr:row>
                <xdr:rowOff>142875</xdr:rowOff>
              </from>
              <to>
                <xdr:col>5</xdr:col>
                <xdr:colOff>1085850</xdr:colOff>
                <xdr:row>8</xdr:row>
                <xdr:rowOff>0</xdr:rowOff>
              </to>
            </anchor>
          </controlPr>
        </control>
      </mc:Choice>
      <mc:Fallback>
        <control shapeId="1038" r:id="rId14" name="clearFilterButton"/>
      </mc:Fallback>
    </mc:AlternateContent>
    <mc:AlternateContent xmlns:mc="http://schemas.openxmlformats.org/markup-compatibility/2006">
      <mc:Choice Requires="x14">
        <control shapeId="1031" r:id="rId16" name="Label 7">
          <controlPr defaultSize="0" autoFill="0" autoLine="0" autoPict="0" altText="もし”誰かに薦めるか”の項目の平均が正確に出ない場合、下の修正ボタンを押してください">
            <anchor moveWithCells="1" sizeWithCells="1">
              <from>
                <xdr:col>3</xdr:col>
                <xdr:colOff>123825</xdr:colOff>
                <xdr:row>4</xdr:row>
                <xdr:rowOff>104775</xdr:rowOff>
              </from>
              <to>
                <xdr:col>4</xdr:col>
                <xdr:colOff>1466850</xdr:colOff>
                <xdr:row>7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4"/>
  <sheetViews>
    <sheetView workbookViewId="0">
      <selection activeCell="A10" sqref="A10:H10"/>
    </sheetView>
  </sheetViews>
  <sheetFormatPr defaultRowHeight="18.75" x14ac:dyDescent="0.4"/>
  <sheetData>
    <row r="1" spans="1:8" x14ac:dyDescent="0.4">
      <c r="A1" s="32" t="s">
        <v>57</v>
      </c>
      <c r="B1" s="32"/>
      <c r="C1" s="32"/>
      <c r="D1" s="32"/>
      <c r="E1" s="32"/>
      <c r="F1" s="32"/>
      <c r="G1" s="32"/>
      <c r="H1" s="32"/>
    </row>
    <row r="2" spans="1:8" ht="14.25" customHeight="1" x14ac:dyDescent="0.4">
      <c r="A2" s="32" t="s">
        <v>44</v>
      </c>
      <c r="B2" s="32"/>
      <c r="C2" s="32"/>
      <c r="D2" s="32"/>
      <c r="E2" s="32"/>
      <c r="F2" s="32"/>
      <c r="G2" s="32"/>
      <c r="H2" s="32"/>
    </row>
    <row r="3" spans="1:8" ht="14.25" customHeight="1" x14ac:dyDescent="0.4">
      <c r="A3" s="32"/>
      <c r="B3" s="32"/>
      <c r="C3" s="32"/>
      <c r="D3" s="32"/>
      <c r="E3" s="32"/>
      <c r="F3" s="32"/>
      <c r="G3" s="32"/>
      <c r="H3" s="32"/>
    </row>
    <row r="4" spans="1:8" ht="25.5" customHeight="1" x14ac:dyDescent="0.4">
      <c r="A4" s="31" t="s">
        <v>58</v>
      </c>
      <c r="B4" s="31"/>
      <c r="C4" s="31"/>
      <c r="D4" s="31"/>
      <c r="E4" s="31"/>
      <c r="F4" s="31"/>
      <c r="G4" s="31"/>
      <c r="H4" s="31"/>
    </row>
    <row r="5" spans="1:8" ht="25.5" customHeight="1" x14ac:dyDescent="0.4">
      <c r="A5" s="31" t="s">
        <v>59</v>
      </c>
      <c r="B5" s="31"/>
      <c r="C5" s="31"/>
      <c r="D5" s="31"/>
      <c r="E5" s="31"/>
      <c r="F5" s="31"/>
      <c r="G5" s="31"/>
      <c r="H5" s="31"/>
    </row>
    <row r="6" spans="1:8" ht="25.5" customHeight="1" x14ac:dyDescent="0.4">
      <c r="A6" s="31" t="s">
        <v>60</v>
      </c>
      <c r="B6" s="31"/>
      <c r="C6" s="31"/>
      <c r="D6" s="31"/>
      <c r="E6" s="31"/>
      <c r="F6" s="31"/>
      <c r="G6" s="31"/>
      <c r="H6" s="31"/>
    </row>
    <row r="7" spans="1:8" ht="25.5" customHeight="1" x14ac:dyDescent="0.4">
      <c r="A7" s="31" t="s">
        <v>61</v>
      </c>
      <c r="B7" s="31"/>
      <c r="C7" s="31"/>
      <c r="D7" s="31"/>
      <c r="E7" s="31"/>
      <c r="F7" s="31"/>
      <c r="G7" s="31"/>
      <c r="H7" s="31"/>
    </row>
    <row r="8" spans="1:8" ht="25.5" customHeight="1" x14ac:dyDescent="0.4">
      <c r="A8" s="31" t="s">
        <v>62</v>
      </c>
      <c r="B8" s="31"/>
      <c r="C8" s="31"/>
      <c r="D8" s="31"/>
      <c r="E8" s="31"/>
      <c r="F8" s="31"/>
      <c r="G8" s="31"/>
      <c r="H8" s="31"/>
    </row>
    <row r="9" spans="1:8" ht="25.5" customHeight="1" x14ac:dyDescent="0.4">
      <c r="A9" s="31" t="s">
        <v>63</v>
      </c>
      <c r="B9" s="31"/>
      <c r="C9" s="31"/>
      <c r="D9" s="31"/>
      <c r="E9" s="31"/>
      <c r="F9" s="31"/>
      <c r="G9" s="31"/>
      <c r="H9" s="31"/>
    </row>
    <row r="10" spans="1:8" ht="25.5" customHeight="1" x14ac:dyDescent="0.4">
      <c r="A10" s="31"/>
      <c r="B10" s="31"/>
      <c r="C10" s="31"/>
      <c r="D10" s="31"/>
      <c r="E10" s="31"/>
      <c r="F10" s="31"/>
      <c r="G10" s="31"/>
      <c r="H10" s="31"/>
    </row>
    <row r="11" spans="1:8" ht="25.5" customHeight="1" x14ac:dyDescent="0.4">
      <c r="A11" s="31"/>
      <c r="B11" s="31"/>
      <c r="C11" s="31"/>
      <c r="D11" s="31"/>
      <c r="E11" s="31"/>
      <c r="F11" s="31"/>
      <c r="G11" s="31"/>
      <c r="H11" s="31"/>
    </row>
    <row r="12" spans="1:8" ht="25.5" customHeight="1" x14ac:dyDescent="0.4">
      <c r="A12" s="31"/>
      <c r="B12" s="31"/>
      <c r="C12" s="31"/>
      <c r="D12" s="31"/>
      <c r="E12" s="31"/>
      <c r="F12" s="31"/>
      <c r="G12" s="31"/>
      <c r="H12" s="31"/>
    </row>
    <row r="13" spans="1:8" ht="25.5" customHeight="1" x14ac:dyDescent="0.4">
      <c r="A13" s="31"/>
      <c r="B13" s="31"/>
      <c r="C13" s="31"/>
      <c r="D13" s="31"/>
      <c r="E13" s="31"/>
      <c r="F13" s="31"/>
      <c r="G13" s="31"/>
      <c r="H13" s="31"/>
    </row>
    <row r="14" spans="1:8" ht="25.5" customHeight="1" x14ac:dyDescent="0.4">
      <c r="A14" s="31"/>
      <c r="B14" s="31"/>
      <c r="C14" s="31"/>
      <c r="D14" s="31"/>
      <c r="E14" s="31"/>
      <c r="F14" s="31"/>
      <c r="G14" s="31"/>
      <c r="H14" s="31"/>
    </row>
    <row r="15" spans="1:8" ht="25.5" customHeight="1" x14ac:dyDescent="0.4">
      <c r="A15" s="31"/>
      <c r="B15" s="31"/>
      <c r="C15" s="31"/>
      <c r="D15" s="31"/>
      <c r="E15" s="31"/>
      <c r="F15" s="31"/>
      <c r="G15" s="31"/>
      <c r="H15" s="31"/>
    </row>
    <row r="16" spans="1:8" ht="25.5" customHeight="1" x14ac:dyDescent="0.4">
      <c r="A16" s="31"/>
      <c r="B16" s="31"/>
      <c r="C16" s="31"/>
      <c r="D16" s="31"/>
      <c r="E16" s="31"/>
      <c r="F16" s="31"/>
      <c r="G16" s="31"/>
      <c r="H16" s="31"/>
    </row>
    <row r="17" spans="1:8" ht="25.5" customHeight="1" x14ac:dyDescent="0.4">
      <c r="A17" s="31"/>
      <c r="B17" s="31"/>
      <c r="C17" s="31"/>
      <c r="D17" s="31"/>
      <c r="E17" s="31"/>
      <c r="F17" s="31"/>
      <c r="G17" s="31"/>
      <c r="H17" s="31"/>
    </row>
    <row r="18" spans="1:8" ht="25.5" customHeight="1" x14ac:dyDescent="0.4">
      <c r="A18" s="31"/>
      <c r="B18" s="31"/>
      <c r="C18" s="31"/>
      <c r="D18" s="31"/>
      <c r="E18" s="31"/>
      <c r="F18" s="31"/>
      <c r="G18" s="31"/>
      <c r="H18" s="31"/>
    </row>
    <row r="19" spans="1:8" ht="25.5" customHeight="1" x14ac:dyDescent="0.4">
      <c r="A19" s="31"/>
      <c r="B19" s="31"/>
      <c r="C19" s="31"/>
      <c r="D19" s="31"/>
      <c r="E19" s="31"/>
      <c r="F19" s="31"/>
      <c r="G19" s="31"/>
      <c r="H19" s="31"/>
    </row>
    <row r="20" spans="1:8" ht="25.5" customHeight="1" x14ac:dyDescent="0.4">
      <c r="A20" s="31"/>
      <c r="B20" s="31"/>
      <c r="C20" s="31"/>
      <c r="D20" s="31"/>
      <c r="E20" s="31"/>
      <c r="F20" s="31"/>
      <c r="G20" s="31"/>
      <c r="H20" s="31"/>
    </row>
    <row r="21" spans="1:8" ht="25.5" customHeight="1" x14ac:dyDescent="0.4">
      <c r="A21" s="31"/>
      <c r="B21" s="31"/>
      <c r="C21" s="31"/>
      <c r="D21" s="31"/>
      <c r="E21" s="31"/>
      <c r="F21" s="31"/>
      <c r="G21" s="31"/>
      <c r="H21" s="31"/>
    </row>
    <row r="22" spans="1:8" ht="25.5" customHeight="1" x14ac:dyDescent="0.4">
      <c r="A22" s="31"/>
      <c r="B22" s="31"/>
      <c r="C22" s="31"/>
      <c r="D22" s="31"/>
      <c r="E22" s="31"/>
      <c r="F22" s="31"/>
      <c r="G22" s="31"/>
      <c r="H22" s="31"/>
    </row>
    <row r="23" spans="1:8" ht="25.5" customHeight="1" x14ac:dyDescent="0.4">
      <c r="A23" s="31"/>
      <c r="B23" s="31"/>
      <c r="C23" s="31"/>
      <c r="D23" s="31"/>
      <c r="E23" s="31"/>
      <c r="F23" s="31"/>
      <c r="G23" s="31"/>
      <c r="H23" s="31"/>
    </row>
    <row r="24" spans="1:8" ht="25.5" customHeight="1" x14ac:dyDescent="0.4">
      <c r="A24" s="31"/>
      <c r="B24" s="31"/>
      <c r="C24" s="31"/>
      <c r="D24" s="31"/>
      <c r="E24" s="31"/>
      <c r="F24" s="31"/>
      <c r="G24" s="31"/>
      <c r="H24" s="31"/>
    </row>
    <row r="25" spans="1:8" ht="25.5" customHeight="1" x14ac:dyDescent="0.4">
      <c r="A25" s="31"/>
      <c r="B25" s="31"/>
      <c r="C25" s="31"/>
      <c r="D25" s="31"/>
      <c r="E25" s="31"/>
      <c r="F25" s="31"/>
      <c r="G25" s="31"/>
      <c r="H25" s="31"/>
    </row>
    <row r="26" spans="1:8" ht="25.5" customHeight="1" x14ac:dyDescent="0.4">
      <c r="A26" s="31"/>
      <c r="B26" s="31"/>
      <c r="C26" s="31"/>
      <c r="D26" s="31"/>
      <c r="E26" s="31"/>
      <c r="F26" s="31"/>
      <c r="G26" s="31"/>
      <c r="H26" s="31"/>
    </row>
    <row r="27" spans="1:8" ht="25.5" customHeight="1" x14ac:dyDescent="0.4">
      <c r="A27" s="30"/>
      <c r="B27" s="30"/>
      <c r="C27" s="30"/>
      <c r="D27" s="30"/>
      <c r="E27" s="30"/>
      <c r="F27" s="30"/>
      <c r="G27" s="30"/>
      <c r="H27" s="30"/>
    </row>
    <row r="28" spans="1:8" ht="25.5" customHeight="1" x14ac:dyDescent="0.4">
      <c r="A28" s="30"/>
      <c r="B28" s="30"/>
      <c r="C28" s="30"/>
      <c r="D28" s="30"/>
      <c r="E28" s="30"/>
      <c r="F28" s="30"/>
      <c r="G28" s="30"/>
      <c r="H28" s="30"/>
    </row>
    <row r="29" spans="1:8" ht="25.5" customHeight="1" x14ac:dyDescent="0.4">
      <c r="A29" s="30"/>
      <c r="B29" s="30"/>
      <c r="C29" s="30"/>
      <c r="D29" s="30"/>
      <c r="E29" s="30"/>
      <c r="F29" s="30"/>
      <c r="G29" s="30"/>
      <c r="H29" s="30"/>
    </row>
    <row r="30" spans="1:8" ht="25.5" customHeight="1" x14ac:dyDescent="0.4">
      <c r="A30" s="30"/>
      <c r="B30" s="30"/>
      <c r="C30" s="30"/>
      <c r="D30" s="30"/>
      <c r="E30" s="30"/>
      <c r="F30" s="30"/>
      <c r="G30" s="30"/>
      <c r="H30" s="30"/>
    </row>
    <row r="31" spans="1:8" ht="25.5" customHeight="1" x14ac:dyDescent="0.4">
      <c r="A31" s="30"/>
      <c r="B31" s="30"/>
      <c r="C31" s="30"/>
      <c r="D31" s="30"/>
      <c r="E31" s="30"/>
      <c r="F31" s="30"/>
      <c r="G31" s="30"/>
      <c r="H31" s="30"/>
    </row>
    <row r="32" spans="1:8" ht="25.5" customHeight="1" x14ac:dyDescent="0.4">
      <c r="A32" s="30"/>
      <c r="B32" s="30"/>
      <c r="C32" s="30"/>
      <c r="D32" s="30"/>
      <c r="E32" s="30"/>
      <c r="F32" s="30"/>
      <c r="G32" s="30"/>
      <c r="H32" s="30"/>
    </row>
    <row r="33" spans="1:8" ht="25.5" customHeight="1" x14ac:dyDescent="0.4">
      <c r="A33" s="30"/>
      <c r="B33" s="30"/>
      <c r="C33" s="30"/>
      <c r="D33" s="30"/>
      <c r="E33" s="30"/>
      <c r="F33" s="30"/>
      <c r="G33" s="30"/>
      <c r="H33" s="30"/>
    </row>
    <row r="34" spans="1:8" ht="25.5" customHeight="1" x14ac:dyDescent="0.4">
      <c r="A34" s="30"/>
      <c r="B34" s="30"/>
      <c r="C34" s="30"/>
      <c r="D34" s="30"/>
      <c r="E34" s="30"/>
      <c r="F34" s="30"/>
      <c r="G34" s="30"/>
      <c r="H34" s="30"/>
    </row>
    <row r="35" spans="1:8" ht="25.5" customHeight="1" x14ac:dyDescent="0.4">
      <c r="A35" s="30"/>
      <c r="B35" s="30"/>
      <c r="C35" s="30"/>
      <c r="D35" s="30"/>
      <c r="E35" s="30"/>
      <c r="F35" s="30"/>
      <c r="G35" s="30"/>
      <c r="H35" s="30"/>
    </row>
    <row r="36" spans="1:8" ht="25.5" customHeight="1" x14ac:dyDescent="0.4">
      <c r="A36" s="30"/>
      <c r="B36" s="30"/>
      <c r="C36" s="30"/>
      <c r="D36" s="30"/>
      <c r="E36" s="30"/>
      <c r="F36" s="30"/>
      <c r="G36" s="30"/>
      <c r="H36" s="30"/>
    </row>
    <row r="37" spans="1:8" ht="25.5" customHeight="1" x14ac:dyDescent="0.4">
      <c r="A37" s="30"/>
      <c r="B37" s="30"/>
      <c r="C37" s="30"/>
      <c r="D37" s="30"/>
      <c r="E37" s="30"/>
      <c r="F37" s="30"/>
      <c r="G37" s="30"/>
      <c r="H37" s="30"/>
    </row>
    <row r="38" spans="1:8" ht="25.5" customHeight="1" x14ac:dyDescent="0.4">
      <c r="A38" s="30"/>
      <c r="B38" s="30"/>
      <c r="C38" s="30"/>
      <c r="D38" s="30"/>
      <c r="E38" s="30"/>
      <c r="F38" s="30"/>
      <c r="G38" s="30"/>
      <c r="H38" s="30"/>
    </row>
    <row r="39" spans="1:8" ht="25.5" customHeight="1" x14ac:dyDescent="0.4">
      <c r="A39" s="30"/>
      <c r="B39" s="30"/>
      <c r="C39" s="30"/>
      <c r="D39" s="30"/>
      <c r="E39" s="30"/>
      <c r="F39" s="30"/>
      <c r="G39" s="30"/>
      <c r="H39" s="30"/>
    </row>
    <row r="40" spans="1:8" ht="25.5" customHeight="1" x14ac:dyDescent="0.4">
      <c r="A40" s="30"/>
      <c r="B40" s="30"/>
      <c r="C40" s="30"/>
      <c r="D40" s="30"/>
      <c r="E40" s="30"/>
      <c r="F40" s="30"/>
      <c r="G40" s="30"/>
      <c r="H40" s="30"/>
    </row>
    <row r="41" spans="1:8" ht="25.5" customHeight="1" x14ac:dyDescent="0.4">
      <c r="A41" s="30"/>
      <c r="B41" s="30"/>
      <c r="C41" s="30"/>
      <c r="D41" s="30"/>
      <c r="E41" s="30"/>
      <c r="F41" s="30"/>
      <c r="G41" s="30"/>
      <c r="H41" s="30"/>
    </row>
    <row r="42" spans="1:8" ht="25.5" customHeight="1" x14ac:dyDescent="0.4">
      <c r="A42" s="30"/>
      <c r="B42" s="30"/>
      <c r="C42" s="30"/>
      <c r="D42" s="30"/>
      <c r="E42" s="30"/>
      <c r="F42" s="30"/>
      <c r="G42" s="30"/>
      <c r="H42" s="30"/>
    </row>
    <row r="43" spans="1:8" ht="25.5" customHeight="1" x14ac:dyDescent="0.4">
      <c r="A43" s="30"/>
      <c r="B43" s="30"/>
      <c r="C43" s="30"/>
      <c r="D43" s="30"/>
      <c r="E43" s="30"/>
      <c r="F43" s="30"/>
      <c r="G43" s="30"/>
      <c r="H43" s="30"/>
    </row>
    <row r="44" spans="1:8" ht="25.5" customHeight="1" x14ac:dyDescent="0.4">
      <c r="A44" s="30"/>
      <c r="B44" s="30"/>
      <c r="C44" s="30"/>
      <c r="D44" s="30"/>
      <c r="E44" s="30"/>
      <c r="F44" s="30"/>
      <c r="G44" s="30"/>
      <c r="H44" s="30"/>
    </row>
    <row r="45" spans="1:8" ht="25.5" customHeight="1" x14ac:dyDescent="0.4">
      <c r="A45" s="30"/>
      <c r="B45" s="30"/>
      <c r="C45" s="30"/>
      <c r="D45" s="30"/>
      <c r="E45" s="30"/>
      <c r="F45" s="30"/>
      <c r="G45" s="30"/>
      <c r="H45" s="30"/>
    </row>
    <row r="46" spans="1:8" ht="25.5" customHeight="1" x14ac:dyDescent="0.4">
      <c r="A46" s="30"/>
      <c r="B46" s="30"/>
      <c r="C46" s="30"/>
      <c r="D46" s="30"/>
      <c r="E46" s="30"/>
      <c r="F46" s="30"/>
      <c r="G46" s="30"/>
      <c r="H46" s="30"/>
    </row>
    <row r="47" spans="1:8" ht="25.5" customHeight="1" x14ac:dyDescent="0.4">
      <c r="A47" s="30"/>
      <c r="B47" s="30"/>
      <c r="C47" s="30"/>
      <c r="D47" s="30"/>
      <c r="E47" s="30"/>
      <c r="F47" s="30"/>
      <c r="G47" s="30"/>
      <c r="H47" s="30"/>
    </row>
    <row r="48" spans="1:8" ht="25.5" customHeight="1" x14ac:dyDescent="0.4">
      <c r="A48" s="30"/>
      <c r="B48" s="30"/>
      <c r="C48" s="30"/>
      <c r="D48" s="30"/>
      <c r="E48" s="30"/>
      <c r="F48" s="30"/>
      <c r="G48" s="30"/>
      <c r="H48" s="30"/>
    </row>
    <row r="49" spans="1:8" ht="25.5" customHeight="1" x14ac:dyDescent="0.4">
      <c r="A49" s="30"/>
      <c r="B49" s="30"/>
      <c r="C49" s="30"/>
      <c r="D49" s="30"/>
      <c r="E49" s="30"/>
      <c r="F49" s="30"/>
      <c r="G49" s="30"/>
      <c r="H49" s="30"/>
    </row>
    <row r="50" spans="1:8" ht="25.5" customHeight="1" x14ac:dyDescent="0.4">
      <c r="A50" s="30"/>
      <c r="B50" s="30"/>
      <c r="C50" s="30"/>
      <c r="D50" s="30"/>
      <c r="E50" s="30"/>
      <c r="F50" s="30"/>
      <c r="G50" s="30"/>
      <c r="H50" s="30"/>
    </row>
    <row r="51" spans="1:8" ht="25.5" customHeight="1" x14ac:dyDescent="0.4">
      <c r="A51" s="30"/>
      <c r="B51" s="30"/>
      <c r="C51" s="30"/>
      <c r="D51" s="30"/>
      <c r="E51" s="30"/>
      <c r="F51" s="30"/>
      <c r="G51" s="30"/>
      <c r="H51" s="30"/>
    </row>
    <row r="52" spans="1:8" ht="25.5" customHeight="1" x14ac:dyDescent="0.4">
      <c r="A52" s="30"/>
      <c r="B52" s="30"/>
      <c r="C52" s="30"/>
      <c r="D52" s="30"/>
      <c r="E52" s="30"/>
      <c r="F52" s="30"/>
      <c r="G52" s="30"/>
      <c r="H52" s="30"/>
    </row>
    <row r="53" spans="1:8" ht="25.5" customHeight="1" x14ac:dyDescent="0.4">
      <c r="A53" s="30"/>
      <c r="B53" s="30"/>
      <c r="C53" s="30"/>
      <c r="D53" s="30"/>
      <c r="E53" s="30"/>
      <c r="F53" s="30"/>
      <c r="G53" s="30"/>
      <c r="H53" s="30"/>
    </row>
    <row r="54" spans="1:8" ht="25.5" customHeight="1" x14ac:dyDescent="0.4">
      <c r="A54" s="30"/>
      <c r="B54" s="30"/>
      <c r="C54" s="30"/>
      <c r="D54" s="30"/>
      <c r="E54" s="30"/>
      <c r="F54" s="30"/>
      <c r="G54" s="30"/>
      <c r="H54" s="30"/>
    </row>
    <row r="55" spans="1:8" ht="25.5" customHeight="1" x14ac:dyDescent="0.4">
      <c r="A55" s="30"/>
      <c r="B55" s="30"/>
      <c r="C55" s="30"/>
      <c r="D55" s="30"/>
      <c r="E55" s="30"/>
      <c r="F55" s="30"/>
      <c r="G55" s="30"/>
      <c r="H55" s="30"/>
    </row>
    <row r="56" spans="1:8" ht="25.5" customHeight="1" x14ac:dyDescent="0.4">
      <c r="A56" s="30"/>
      <c r="B56" s="30"/>
      <c r="C56" s="30"/>
      <c r="D56" s="30"/>
      <c r="E56" s="30"/>
      <c r="F56" s="30"/>
      <c r="G56" s="30"/>
      <c r="H56" s="30"/>
    </row>
    <row r="57" spans="1:8" ht="25.5" customHeight="1" x14ac:dyDescent="0.4">
      <c r="A57" s="30"/>
      <c r="B57" s="30"/>
      <c r="C57" s="30"/>
      <c r="D57" s="30"/>
      <c r="E57" s="30"/>
      <c r="F57" s="30"/>
      <c r="G57" s="30"/>
      <c r="H57" s="30"/>
    </row>
    <row r="58" spans="1:8" ht="25.5" customHeight="1" x14ac:dyDescent="0.4">
      <c r="A58" s="30"/>
      <c r="B58" s="30"/>
      <c r="C58" s="30"/>
      <c r="D58" s="30"/>
      <c r="E58" s="30"/>
      <c r="F58" s="30"/>
      <c r="G58" s="30"/>
      <c r="H58" s="30"/>
    </row>
    <row r="59" spans="1:8" ht="25.5" customHeight="1" x14ac:dyDescent="0.4">
      <c r="A59" s="30"/>
      <c r="B59" s="30"/>
      <c r="C59" s="30"/>
      <c r="D59" s="30"/>
      <c r="E59" s="30"/>
      <c r="F59" s="30"/>
      <c r="G59" s="30"/>
      <c r="H59" s="30"/>
    </row>
    <row r="60" spans="1:8" ht="25.5" customHeight="1" x14ac:dyDescent="0.4">
      <c r="A60" s="30"/>
      <c r="B60" s="30"/>
      <c r="C60" s="30"/>
      <c r="D60" s="30"/>
      <c r="E60" s="30"/>
      <c r="F60" s="30"/>
      <c r="G60" s="30"/>
      <c r="H60" s="30"/>
    </row>
    <row r="61" spans="1:8" ht="25.5" customHeight="1" x14ac:dyDescent="0.4">
      <c r="A61" s="30"/>
      <c r="B61" s="30"/>
      <c r="C61" s="30"/>
      <c r="D61" s="30"/>
      <c r="E61" s="30"/>
      <c r="F61" s="30"/>
      <c r="G61" s="30"/>
      <c r="H61" s="30"/>
    </row>
    <row r="62" spans="1:8" ht="25.5" customHeight="1" x14ac:dyDescent="0.4">
      <c r="A62" s="30"/>
      <c r="B62" s="30"/>
      <c r="C62" s="30"/>
      <c r="D62" s="30"/>
      <c r="E62" s="30"/>
      <c r="F62" s="30"/>
      <c r="G62" s="30"/>
      <c r="H62" s="30"/>
    </row>
    <row r="63" spans="1:8" ht="25.5" customHeight="1" x14ac:dyDescent="0.4">
      <c r="A63" s="30"/>
      <c r="B63" s="30"/>
      <c r="C63" s="30"/>
      <c r="D63" s="30"/>
      <c r="E63" s="30"/>
      <c r="F63" s="30"/>
      <c r="G63" s="30"/>
      <c r="H63" s="30"/>
    </row>
    <row r="64" spans="1:8" ht="25.5" customHeight="1" x14ac:dyDescent="0.4">
      <c r="A64" s="30"/>
      <c r="B64" s="30"/>
      <c r="C64" s="30"/>
      <c r="D64" s="30"/>
      <c r="E64" s="30"/>
      <c r="F64" s="30"/>
      <c r="G64" s="30"/>
      <c r="H64" s="30"/>
    </row>
    <row r="65" spans="1:9" ht="25.5" customHeight="1" x14ac:dyDescent="0.4">
      <c r="A65" s="30"/>
      <c r="B65" s="30"/>
      <c r="C65" s="30"/>
      <c r="D65" s="30"/>
      <c r="E65" s="30"/>
      <c r="F65" s="30"/>
      <c r="G65" s="30"/>
      <c r="H65" s="30"/>
    </row>
    <row r="66" spans="1:9" ht="25.5" customHeight="1" x14ac:dyDescent="0.4">
      <c r="A66" s="30"/>
      <c r="B66" s="30"/>
      <c r="C66" s="30"/>
      <c r="D66" s="30"/>
      <c r="E66" s="30"/>
      <c r="F66" s="30"/>
      <c r="G66" s="30"/>
      <c r="H66" s="30"/>
    </row>
    <row r="67" spans="1:9" ht="25.5" customHeight="1" x14ac:dyDescent="0.4">
      <c r="A67" s="30"/>
      <c r="B67" s="30"/>
      <c r="C67" s="30"/>
      <c r="D67" s="30"/>
      <c r="E67" s="30"/>
      <c r="F67" s="30"/>
      <c r="G67" s="30"/>
      <c r="H67" s="30"/>
    </row>
    <row r="68" spans="1:9" ht="25.5" customHeight="1" x14ac:dyDescent="0.4">
      <c r="A68" s="30"/>
      <c r="B68" s="30"/>
      <c r="C68" s="30"/>
      <c r="D68" s="30"/>
      <c r="E68" s="30"/>
      <c r="F68" s="30"/>
      <c r="G68" s="30"/>
      <c r="H68" s="30"/>
    </row>
    <row r="69" spans="1:9" ht="25.5" customHeight="1" x14ac:dyDescent="0.4">
      <c r="A69" s="30"/>
      <c r="B69" s="30"/>
      <c r="C69" s="30"/>
      <c r="D69" s="30"/>
      <c r="E69" s="30"/>
      <c r="F69" s="30"/>
      <c r="G69" s="30"/>
      <c r="H69" s="30"/>
      <c r="I69" s="16"/>
    </row>
    <row r="70" spans="1:9" ht="25.5" customHeight="1" x14ac:dyDescent="0.4">
      <c r="A70" s="30"/>
      <c r="B70" s="30"/>
      <c r="C70" s="30"/>
      <c r="D70" s="30"/>
      <c r="E70" s="30"/>
      <c r="F70" s="30"/>
      <c r="G70" s="30"/>
      <c r="H70" s="30"/>
    </row>
    <row r="71" spans="1:9" ht="25.5" customHeight="1" x14ac:dyDescent="0.4">
      <c r="A71" s="30"/>
      <c r="B71" s="30"/>
      <c r="C71" s="30"/>
      <c r="D71" s="30"/>
      <c r="E71" s="30"/>
      <c r="F71" s="30"/>
      <c r="G71" s="30"/>
      <c r="H71" s="30"/>
    </row>
    <row r="72" spans="1:9" ht="25.5" customHeight="1" x14ac:dyDescent="0.4">
      <c r="A72" s="30"/>
      <c r="B72" s="30"/>
      <c r="C72" s="30"/>
      <c r="D72" s="30"/>
      <c r="E72" s="30"/>
      <c r="F72" s="30"/>
      <c r="G72" s="30"/>
      <c r="H72" s="30"/>
    </row>
    <row r="73" spans="1:9" ht="25.5" customHeight="1" x14ac:dyDescent="0.4">
      <c r="A73" s="30"/>
      <c r="B73" s="30"/>
      <c r="C73" s="30"/>
      <c r="D73" s="30"/>
      <c r="E73" s="30"/>
      <c r="F73" s="30"/>
      <c r="G73" s="30"/>
      <c r="H73" s="30"/>
    </row>
    <row r="74" spans="1:9" ht="25.5" customHeight="1" x14ac:dyDescent="0.4">
      <c r="A74" s="30"/>
      <c r="B74" s="30"/>
      <c r="C74" s="30"/>
      <c r="D74" s="30"/>
      <c r="E74" s="30"/>
      <c r="F74" s="30"/>
      <c r="G74" s="30"/>
      <c r="H74" s="30"/>
    </row>
    <row r="75" spans="1:9" ht="25.5" customHeight="1" x14ac:dyDescent="0.4">
      <c r="A75" s="30"/>
      <c r="B75" s="30"/>
      <c r="C75" s="30"/>
      <c r="D75" s="30"/>
      <c r="E75" s="30"/>
      <c r="F75" s="30"/>
      <c r="G75" s="30"/>
      <c r="H75" s="30"/>
    </row>
    <row r="76" spans="1:9" ht="25.5" customHeight="1" x14ac:dyDescent="0.4">
      <c r="A76" s="30"/>
      <c r="B76" s="30"/>
      <c r="C76" s="30"/>
      <c r="D76" s="30"/>
      <c r="E76" s="30"/>
      <c r="F76" s="30"/>
      <c r="G76" s="30"/>
      <c r="H76" s="30"/>
    </row>
    <row r="77" spans="1:9" ht="25.5" customHeight="1" x14ac:dyDescent="0.4">
      <c r="A77" s="30"/>
      <c r="B77" s="30"/>
      <c r="C77" s="30"/>
      <c r="D77" s="30"/>
      <c r="E77" s="30"/>
      <c r="F77" s="30"/>
      <c r="G77" s="30"/>
      <c r="H77" s="30"/>
    </row>
    <row r="78" spans="1:9" ht="25.5" customHeight="1" x14ac:dyDescent="0.4">
      <c r="A78" s="30"/>
      <c r="B78" s="30"/>
      <c r="C78" s="30"/>
      <c r="D78" s="30"/>
      <c r="E78" s="30"/>
      <c r="F78" s="30"/>
      <c r="G78" s="30"/>
      <c r="H78" s="30"/>
    </row>
    <row r="79" spans="1:9" ht="25.5" customHeight="1" x14ac:dyDescent="0.4">
      <c r="A79" s="30"/>
      <c r="B79" s="30"/>
      <c r="C79" s="30"/>
      <c r="D79" s="30"/>
      <c r="E79" s="30"/>
      <c r="F79" s="30"/>
      <c r="G79" s="30"/>
      <c r="H79" s="30"/>
    </row>
    <row r="80" spans="1:9" ht="25.5" customHeight="1" x14ac:dyDescent="0.4">
      <c r="A80" s="30"/>
      <c r="B80" s="30"/>
      <c r="C80" s="30"/>
      <c r="D80" s="30"/>
      <c r="E80" s="30"/>
      <c r="F80" s="30"/>
      <c r="G80" s="30"/>
      <c r="H80" s="30"/>
    </row>
    <row r="81" spans="1:9" ht="25.5" customHeight="1" x14ac:dyDescent="0.4">
      <c r="A81" s="30"/>
      <c r="B81" s="30"/>
      <c r="C81" s="30"/>
      <c r="D81" s="30"/>
      <c r="E81" s="30"/>
      <c r="F81" s="30"/>
      <c r="G81" s="30"/>
      <c r="H81" s="30"/>
    </row>
    <row r="82" spans="1:9" ht="25.5" customHeight="1" x14ac:dyDescent="0.4">
      <c r="A82" s="30"/>
      <c r="B82" s="30"/>
      <c r="C82" s="30"/>
      <c r="D82" s="30"/>
      <c r="E82" s="30"/>
      <c r="F82" s="30"/>
      <c r="G82" s="30"/>
      <c r="H82" s="30"/>
    </row>
    <row r="83" spans="1:9" ht="25.5" customHeight="1" x14ac:dyDescent="0.4">
      <c r="A83" s="30"/>
      <c r="B83" s="30"/>
      <c r="C83" s="30"/>
      <c r="D83" s="30"/>
      <c r="E83" s="30"/>
      <c r="F83" s="30"/>
      <c r="G83" s="30"/>
      <c r="H83" s="30"/>
    </row>
    <row r="84" spans="1:9" ht="25.5" customHeight="1" x14ac:dyDescent="0.4">
      <c r="A84" s="30"/>
      <c r="B84" s="30"/>
      <c r="C84" s="30"/>
      <c r="D84" s="30"/>
      <c r="E84" s="30"/>
      <c r="F84" s="30"/>
      <c r="G84" s="30"/>
      <c r="H84" s="30"/>
    </row>
    <row r="85" spans="1:9" ht="25.5" customHeight="1" x14ac:dyDescent="0.4">
      <c r="A85" s="30"/>
      <c r="B85" s="30"/>
      <c r="C85" s="30"/>
      <c r="D85" s="30"/>
      <c r="E85" s="30"/>
      <c r="F85" s="30"/>
      <c r="G85" s="30"/>
      <c r="H85" s="30"/>
    </row>
    <row r="86" spans="1:9" ht="25.5" customHeight="1" x14ac:dyDescent="0.4">
      <c r="A86" s="30"/>
      <c r="B86" s="30"/>
      <c r="C86" s="30"/>
      <c r="D86" s="30"/>
      <c r="E86" s="30"/>
      <c r="F86" s="30"/>
      <c r="G86" s="30"/>
      <c r="H86" s="30"/>
    </row>
    <row r="87" spans="1:9" ht="25.5" customHeight="1" x14ac:dyDescent="0.4">
      <c r="A87" s="30"/>
      <c r="B87" s="30"/>
      <c r="C87" s="30"/>
      <c r="D87" s="30"/>
      <c r="E87" s="30"/>
      <c r="F87" s="30"/>
      <c r="G87" s="30"/>
      <c r="H87" s="30"/>
    </row>
    <row r="88" spans="1:9" ht="25.5" customHeight="1" x14ac:dyDescent="0.4">
      <c r="A88" s="30"/>
      <c r="B88" s="30"/>
      <c r="C88" s="30"/>
      <c r="D88" s="30"/>
      <c r="E88" s="30"/>
      <c r="F88" s="30"/>
      <c r="G88" s="30"/>
      <c r="H88" s="30"/>
    </row>
    <row r="89" spans="1:9" ht="25.5" customHeight="1" x14ac:dyDescent="0.4">
      <c r="A89" s="30"/>
      <c r="B89" s="30"/>
      <c r="C89" s="30"/>
      <c r="D89" s="30"/>
      <c r="E89" s="30"/>
      <c r="F89" s="30"/>
      <c r="G89" s="30"/>
      <c r="H89" s="30"/>
    </row>
    <row r="90" spans="1:9" ht="25.5" customHeight="1" x14ac:dyDescent="0.4">
      <c r="A90" s="30"/>
      <c r="B90" s="30"/>
      <c r="C90" s="30"/>
      <c r="D90" s="30"/>
      <c r="E90" s="30"/>
      <c r="F90" s="30"/>
      <c r="G90" s="30"/>
      <c r="H90" s="30"/>
      <c r="I90" s="16"/>
    </row>
    <row r="91" spans="1:9" ht="25.5" customHeight="1" x14ac:dyDescent="0.4">
      <c r="A91" s="30"/>
      <c r="B91" s="30"/>
      <c r="C91" s="30"/>
      <c r="D91" s="30"/>
      <c r="E91" s="30"/>
      <c r="F91" s="30"/>
      <c r="G91" s="30"/>
      <c r="H91" s="30"/>
    </row>
    <row r="92" spans="1:9" ht="25.5" customHeight="1" x14ac:dyDescent="0.4">
      <c r="A92" s="30"/>
      <c r="B92" s="30"/>
      <c r="C92" s="30"/>
      <c r="D92" s="30"/>
      <c r="E92" s="30"/>
      <c r="F92" s="30"/>
      <c r="G92" s="30"/>
      <c r="H92" s="30"/>
    </row>
    <row r="93" spans="1:9" ht="25.5" customHeight="1" x14ac:dyDescent="0.4">
      <c r="A93" s="30"/>
      <c r="B93" s="30"/>
      <c r="C93" s="30"/>
      <c r="D93" s="30"/>
      <c r="E93" s="30"/>
      <c r="F93" s="30"/>
      <c r="G93" s="30"/>
      <c r="H93" s="30"/>
    </row>
    <row r="94" spans="1:9" ht="25.5" customHeight="1" x14ac:dyDescent="0.4">
      <c r="A94" s="30"/>
      <c r="B94" s="30"/>
      <c r="C94" s="30"/>
      <c r="D94" s="30"/>
      <c r="E94" s="30"/>
      <c r="F94" s="30"/>
      <c r="G94" s="30"/>
      <c r="H94" s="30"/>
    </row>
    <row r="95" spans="1:9" ht="25.5" customHeight="1" x14ac:dyDescent="0.4">
      <c r="A95" s="30"/>
      <c r="B95" s="30"/>
      <c r="C95" s="30"/>
      <c r="D95" s="30"/>
      <c r="E95" s="30"/>
      <c r="F95" s="30"/>
      <c r="G95" s="30"/>
      <c r="H95" s="30"/>
    </row>
    <row r="96" spans="1:9" ht="25.5" customHeight="1" x14ac:dyDescent="0.4">
      <c r="A96" s="30"/>
      <c r="B96" s="30"/>
      <c r="C96" s="30"/>
      <c r="D96" s="30"/>
      <c r="E96" s="30"/>
      <c r="F96" s="30"/>
      <c r="G96" s="30"/>
      <c r="H96" s="30"/>
      <c r="I96" s="16"/>
    </row>
    <row r="97" spans="1:9" ht="25.5" customHeight="1" x14ac:dyDescent="0.4">
      <c r="A97" s="30"/>
      <c r="B97" s="30"/>
      <c r="C97" s="30"/>
      <c r="D97" s="30"/>
      <c r="E97" s="30"/>
      <c r="F97" s="30"/>
      <c r="G97" s="30"/>
      <c r="H97" s="30"/>
      <c r="I97" s="16"/>
    </row>
    <row r="98" spans="1:9" ht="25.5" customHeight="1" x14ac:dyDescent="0.4">
      <c r="A98" s="30"/>
      <c r="B98" s="30"/>
      <c r="C98" s="30"/>
      <c r="D98" s="30"/>
      <c r="E98" s="30"/>
      <c r="F98" s="30"/>
      <c r="G98" s="30"/>
      <c r="H98" s="30"/>
    </row>
    <row r="99" spans="1:9" ht="25.5" customHeight="1" x14ac:dyDescent="0.4">
      <c r="A99" s="30"/>
      <c r="B99" s="30"/>
      <c r="C99" s="30"/>
      <c r="D99" s="30"/>
      <c r="E99" s="30"/>
      <c r="F99" s="30"/>
      <c r="G99" s="30"/>
      <c r="H99" s="30"/>
    </row>
    <row r="100" spans="1:9" ht="25.5" customHeight="1" x14ac:dyDescent="0.4">
      <c r="A100" s="30"/>
      <c r="B100" s="30"/>
      <c r="C100" s="30"/>
      <c r="D100" s="30"/>
      <c r="E100" s="30"/>
      <c r="F100" s="30"/>
      <c r="G100" s="30"/>
      <c r="H100" s="30"/>
    </row>
    <row r="101" spans="1:9" ht="25.5" customHeight="1" x14ac:dyDescent="0.4">
      <c r="A101" s="30"/>
      <c r="B101" s="30"/>
      <c r="C101" s="30"/>
      <c r="D101" s="30"/>
      <c r="E101" s="30"/>
      <c r="F101" s="30"/>
      <c r="G101" s="30"/>
      <c r="H101" s="30"/>
    </row>
    <row r="102" spans="1:9" ht="25.5" customHeight="1" x14ac:dyDescent="0.4">
      <c r="A102" s="30"/>
      <c r="B102" s="30"/>
      <c r="C102" s="30"/>
      <c r="D102" s="30"/>
      <c r="E102" s="30"/>
      <c r="F102" s="30"/>
      <c r="G102" s="30"/>
      <c r="H102" s="30"/>
    </row>
    <row r="103" spans="1:9" ht="25.5" customHeight="1" x14ac:dyDescent="0.4">
      <c r="A103" s="30"/>
      <c r="B103" s="30"/>
      <c r="C103" s="30"/>
      <c r="D103" s="30"/>
      <c r="E103" s="30"/>
      <c r="F103" s="30"/>
      <c r="G103" s="30"/>
      <c r="H103" s="30"/>
    </row>
    <row r="104" spans="1:9" ht="25.5" customHeight="1" x14ac:dyDescent="0.4">
      <c r="A104" s="30"/>
      <c r="B104" s="30"/>
      <c r="C104" s="30"/>
      <c r="D104" s="30"/>
      <c r="E104" s="30"/>
      <c r="F104" s="30"/>
      <c r="G104" s="30"/>
      <c r="H104" s="30"/>
    </row>
  </sheetData>
  <mergeCells count="103">
    <mergeCell ref="A22:H22"/>
    <mergeCell ref="A23:H23"/>
    <mergeCell ref="A24:H24"/>
    <mergeCell ref="A25:H25"/>
    <mergeCell ref="A7:H7"/>
    <mergeCell ref="A8:H8"/>
    <mergeCell ref="A9:H9"/>
    <mergeCell ref="A10:H10"/>
    <mergeCell ref="A11:H11"/>
    <mergeCell ref="A1:H1"/>
    <mergeCell ref="A2:H3"/>
    <mergeCell ref="A4:H4"/>
    <mergeCell ref="A5:H5"/>
    <mergeCell ref="A6:H6"/>
    <mergeCell ref="A34:H34"/>
    <mergeCell ref="A43:H43"/>
    <mergeCell ref="A42:H42"/>
    <mergeCell ref="A41:H41"/>
    <mergeCell ref="A40:H40"/>
    <mergeCell ref="A39:H39"/>
    <mergeCell ref="A12:H12"/>
    <mergeCell ref="A13:H13"/>
    <mergeCell ref="A14:H14"/>
    <mergeCell ref="A15:H15"/>
    <mergeCell ref="A33:H33"/>
    <mergeCell ref="A32:H32"/>
    <mergeCell ref="A31:H31"/>
    <mergeCell ref="A30:H30"/>
    <mergeCell ref="A29:H29"/>
    <mergeCell ref="A28:H28"/>
    <mergeCell ref="A27:H27"/>
    <mergeCell ref="A16:H16"/>
    <mergeCell ref="A17:H17"/>
    <mergeCell ref="A18:H18"/>
    <mergeCell ref="A19:H19"/>
    <mergeCell ref="A20:H20"/>
    <mergeCell ref="A26:H26"/>
    <mergeCell ref="A21:H21"/>
    <mergeCell ref="A58:H58"/>
    <mergeCell ref="A57:H57"/>
    <mergeCell ref="A56:H56"/>
    <mergeCell ref="A55:H55"/>
    <mergeCell ref="A54:H54"/>
    <mergeCell ref="A38:H38"/>
    <mergeCell ref="A37:H37"/>
    <mergeCell ref="A36:H36"/>
    <mergeCell ref="A35:H35"/>
    <mergeCell ref="A48:H48"/>
    <mergeCell ref="A47:H47"/>
    <mergeCell ref="A46:H46"/>
    <mergeCell ref="A45:H45"/>
    <mergeCell ref="A44:H44"/>
    <mergeCell ref="A53:H53"/>
    <mergeCell ref="A52:H52"/>
    <mergeCell ref="A51:H51"/>
    <mergeCell ref="A50:H50"/>
    <mergeCell ref="A49:H49"/>
    <mergeCell ref="A59:H59"/>
    <mergeCell ref="A78:H78"/>
    <mergeCell ref="A77:H77"/>
    <mergeCell ref="A76:H76"/>
    <mergeCell ref="A75:H75"/>
    <mergeCell ref="A74:H74"/>
    <mergeCell ref="A73:H73"/>
    <mergeCell ref="A72:H72"/>
    <mergeCell ref="A71:H71"/>
    <mergeCell ref="A70:H70"/>
    <mergeCell ref="A69:H69"/>
    <mergeCell ref="A64:H64"/>
    <mergeCell ref="A63:H63"/>
    <mergeCell ref="A62:H62"/>
    <mergeCell ref="A61:H61"/>
    <mergeCell ref="A60:H60"/>
    <mergeCell ref="A68:H68"/>
    <mergeCell ref="A67:H67"/>
    <mergeCell ref="A66:H66"/>
    <mergeCell ref="A65:H65"/>
    <mergeCell ref="A80:H80"/>
    <mergeCell ref="A79:H79"/>
    <mergeCell ref="A95:H95"/>
    <mergeCell ref="A94:H94"/>
    <mergeCell ref="A93:H93"/>
    <mergeCell ref="A92:H92"/>
    <mergeCell ref="A91:H91"/>
    <mergeCell ref="A90:H90"/>
    <mergeCell ref="A85:H85"/>
    <mergeCell ref="A84:H84"/>
    <mergeCell ref="A83:H83"/>
    <mergeCell ref="A82:H82"/>
    <mergeCell ref="A81:H81"/>
    <mergeCell ref="A89:H89"/>
    <mergeCell ref="A88:H88"/>
    <mergeCell ref="A87:H87"/>
    <mergeCell ref="A86:H86"/>
    <mergeCell ref="A99:H99"/>
    <mergeCell ref="A98:H98"/>
    <mergeCell ref="A97:H97"/>
    <mergeCell ref="A96:H96"/>
    <mergeCell ref="A104:H104"/>
    <mergeCell ref="A103:H103"/>
    <mergeCell ref="A102:H102"/>
    <mergeCell ref="A101:H101"/>
    <mergeCell ref="A100:H100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zoomScale="115" zoomScaleNormal="115" workbookViewId="0">
      <selection activeCell="N3" sqref="N3"/>
    </sheetView>
  </sheetViews>
  <sheetFormatPr defaultRowHeight="18.75" x14ac:dyDescent="0.4"/>
  <cols>
    <col min="1" max="1" width="10.875" customWidth="1"/>
    <col min="2" max="2" width="26.125" customWidth="1"/>
    <col min="3" max="3" width="5.125" customWidth="1"/>
    <col min="4" max="4" width="10.875" customWidth="1"/>
    <col min="5" max="5" width="26.125" customWidth="1"/>
  </cols>
  <sheetData>
    <row r="1" spans="1:5" x14ac:dyDescent="0.4">
      <c r="A1" s="13" t="s">
        <v>46</v>
      </c>
      <c r="B1" s="14" t="s">
        <v>57</v>
      </c>
      <c r="D1" s="13" t="s">
        <v>46</v>
      </c>
      <c r="E1" s="14" t="s">
        <v>57</v>
      </c>
    </row>
    <row r="2" spans="1:5" ht="54.75" customHeight="1" x14ac:dyDescent="0.4">
      <c r="A2" s="33" t="s">
        <v>64</v>
      </c>
      <c r="B2" s="33"/>
      <c r="D2" s="33" t="s">
        <v>47</v>
      </c>
      <c r="E2" s="33"/>
    </row>
    <row r="3" spans="1:5" s="15" customFormat="1" ht="13.5" customHeight="1" x14ac:dyDescent="0.4">
      <c r="A3" s="36" t="s">
        <v>45</v>
      </c>
      <c r="B3" s="37"/>
      <c r="D3" s="36" t="s">
        <v>45</v>
      </c>
      <c r="E3" s="37"/>
    </row>
    <row r="4" spans="1:5" ht="80.25" customHeight="1" x14ac:dyDescent="0.4">
      <c r="A4" s="34"/>
      <c r="B4" s="35"/>
      <c r="D4" s="34"/>
      <c r="E4" s="35"/>
    </row>
    <row r="6" spans="1:5" x14ac:dyDescent="0.4">
      <c r="A6" s="13" t="s">
        <v>46</v>
      </c>
      <c r="B6" s="14" t="s">
        <v>57</v>
      </c>
      <c r="D6" s="13" t="s">
        <v>46</v>
      </c>
      <c r="E6" s="14" t="s">
        <v>57</v>
      </c>
    </row>
    <row r="7" spans="1:5" ht="54.75" customHeight="1" x14ac:dyDescent="0.4">
      <c r="A7" s="33" t="s">
        <v>65</v>
      </c>
      <c r="B7" s="33"/>
      <c r="D7" s="33" t="s">
        <v>66</v>
      </c>
      <c r="E7" s="33"/>
    </row>
    <row r="8" spans="1:5" ht="13.5" customHeight="1" x14ac:dyDescent="0.4">
      <c r="A8" s="36" t="s">
        <v>45</v>
      </c>
      <c r="B8" s="37"/>
      <c r="D8" s="36" t="s">
        <v>45</v>
      </c>
      <c r="E8" s="37"/>
    </row>
    <row r="9" spans="1:5" ht="80.25" customHeight="1" x14ac:dyDescent="0.4">
      <c r="A9" s="34"/>
      <c r="B9" s="35"/>
      <c r="D9" s="34"/>
      <c r="E9" s="35"/>
    </row>
    <row r="11" spans="1:5" x14ac:dyDescent="0.4">
      <c r="A11" s="13" t="s">
        <v>46</v>
      </c>
      <c r="B11" s="14" t="s">
        <v>57</v>
      </c>
      <c r="D11" s="13" t="s">
        <v>46</v>
      </c>
      <c r="E11" s="14" t="s">
        <v>57</v>
      </c>
    </row>
    <row r="12" spans="1:5" ht="54.75" customHeight="1" x14ac:dyDescent="0.4">
      <c r="A12" s="33" t="s">
        <v>48</v>
      </c>
      <c r="B12" s="33"/>
      <c r="D12" s="33" t="s">
        <v>68</v>
      </c>
      <c r="E12" s="33"/>
    </row>
    <row r="13" spans="1:5" ht="13.5" customHeight="1" x14ac:dyDescent="0.4">
      <c r="A13" s="36" t="s">
        <v>45</v>
      </c>
      <c r="B13" s="37"/>
      <c r="D13" s="36" t="s">
        <v>45</v>
      </c>
      <c r="E13" s="37"/>
    </row>
    <row r="14" spans="1:5" ht="80.25" customHeight="1" x14ac:dyDescent="0.4">
      <c r="A14" s="34"/>
      <c r="B14" s="35"/>
      <c r="D14" s="34"/>
      <c r="E14" s="35"/>
    </row>
    <row r="16" spans="1:5" x14ac:dyDescent="0.4">
      <c r="A16" s="13" t="s">
        <v>46</v>
      </c>
      <c r="B16" s="14" t="s">
        <v>57</v>
      </c>
      <c r="D16" s="13" t="s">
        <v>46</v>
      </c>
      <c r="E16" s="14" t="s">
        <v>57</v>
      </c>
    </row>
    <row r="17" spans="1:5" ht="54.75" customHeight="1" x14ac:dyDescent="0.4">
      <c r="A17" s="33" t="s">
        <v>67</v>
      </c>
      <c r="B17" s="33"/>
      <c r="D17" s="33" t="s">
        <v>71</v>
      </c>
      <c r="E17" s="33"/>
    </row>
    <row r="18" spans="1:5" ht="13.5" customHeight="1" x14ac:dyDescent="0.4">
      <c r="A18" s="36" t="s">
        <v>45</v>
      </c>
      <c r="B18" s="37"/>
      <c r="D18" s="36" t="s">
        <v>45</v>
      </c>
      <c r="E18" s="37"/>
    </row>
    <row r="19" spans="1:5" ht="80.25" customHeight="1" x14ac:dyDescent="0.4">
      <c r="A19" s="34"/>
      <c r="B19" s="35"/>
      <c r="D19" s="34"/>
      <c r="E19" s="35"/>
    </row>
    <row r="21" spans="1:5" x14ac:dyDescent="0.4">
      <c r="A21" s="13" t="s">
        <v>46</v>
      </c>
      <c r="B21" s="14" t="s">
        <v>57</v>
      </c>
      <c r="D21" s="13" t="s">
        <v>46</v>
      </c>
      <c r="E21" s="14" t="s">
        <v>57</v>
      </c>
    </row>
    <row r="22" spans="1:5" ht="54.75" customHeight="1" x14ac:dyDescent="0.4">
      <c r="A22" s="33"/>
      <c r="B22" s="33"/>
      <c r="D22" s="33"/>
      <c r="E22" s="33"/>
    </row>
    <row r="23" spans="1:5" ht="13.5" customHeight="1" x14ac:dyDescent="0.4">
      <c r="A23" s="36" t="s">
        <v>45</v>
      </c>
      <c r="B23" s="37"/>
      <c r="D23" s="36" t="s">
        <v>45</v>
      </c>
      <c r="E23" s="37"/>
    </row>
    <row r="24" spans="1:5" ht="80.25" customHeight="1" x14ac:dyDescent="0.4">
      <c r="A24" s="34"/>
      <c r="B24" s="35"/>
      <c r="D24" s="34"/>
      <c r="E24" s="35"/>
    </row>
    <row r="26" spans="1:5" x14ac:dyDescent="0.4">
      <c r="A26" s="13" t="s">
        <v>46</v>
      </c>
      <c r="B26" s="14" t="s">
        <v>57</v>
      </c>
      <c r="D26" s="13" t="s">
        <v>46</v>
      </c>
      <c r="E26" s="14" t="s">
        <v>57</v>
      </c>
    </row>
    <row r="27" spans="1:5" ht="54.75" customHeight="1" x14ac:dyDescent="0.4">
      <c r="A27" s="33"/>
      <c r="B27" s="33"/>
      <c r="D27" s="33"/>
      <c r="E27" s="33"/>
    </row>
    <row r="28" spans="1:5" ht="13.5" customHeight="1" x14ac:dyDescent="0.4">
      <c r="A28" s="36" t="s">
        <v>45</v>
      </c>
      <c r="B28" s="37"/>
      <c r="D28" s="36" t="s">
        <v>45</v>
      </c>
      <c r="E28" s="37"/>
    </row>
    <row r="29" spans="1:5" ht="80.25" customHeight="1" x14ac:dyDescent="0.4">
      <c r="A29" s="34"/>
      <c r="B29" s="35"/>
      <c r="D29" s="34"/>
      <c r="E29" s="35"/>
    </row>
    <row r="31" spans="1:5" x14ac:dyDescent="0.4">
      <c r="A31" s="13" t="s">
        <v>46</v>
      </c>
      <c r="B31" s="14" t="s">
        <v>57</v>
      </c>
      <c r="D31" s="13" t="s">
        <v>46</v>
      </c>
      <c r="E31" s="14" t="s">
        <v>57</v>
      </c>
    </row>
    <row r="32" spans="1:5" ht="54.75" customHeight="1" x14ac:dyDescent="0.4">
      <c r="A32" s="33"/>
      <c r="B32" s="33"/>
      <c r="D32" s="33"/>
      <c r="E32" s="33"/>
    </row>
    <row r="33" spans="1:5" ht="13.5" customHeight="1" x14ac:dyDescent="0.4">
      <c r="A33" s="36" t="s">
        <v>45</v>
      </c>
      <c r="B33" s="37"/>
      <c r="D33" s="36" t="s">
        <v>45</v>
      </c>
      <c r="E33" s="37"/>
    </row>
    <row r="34" spans="1:5" ht="80.25" customHeight="1" x14ac:dyDescent="0.4">
      <c r="A34" s="34"/>
      <c r="B34" s="35"/>
      <c r="D34" s="34"/>
      <c r="E34" s="35"/>
    </row>
    <row r="36" spans="1:5" x14ac:dyDescent="0.4">
      <c r="A36" s="13" t="s">
        <v>46</v>
      </c>
      <c r="B36" s="14" t="s">
        <v>57</v>
      </c>
      <c r="D36" s="13" t="s">
        <v>46</v>
      </c>
      <c r="E36" s="14" t="s">
        <v>57</v>
      </c>
    </row>
    <row r="37" spans="1:5" ht="54.75" customHeight="1" x14ac:dyDescent="0.4">
      <c r="A37" s="33"/>
      <c r="B37" s="33"/>
      <c r="D37" s="33"/>
      <c r="E37" s="33"/>
    </row>
    <row r="38" spans="1:5" ht="13.5" customHeight="1" x14ac:dyDescent="0.4">
      <c r="A38" s="36" t="s">
        <v>45</v>
      </c>
      <c r="B38" s="37"/>
      <c r="D38" s="36" t="s">
        <v>45</v>
      </c>
      <c r="E38" s="37"/>
    </row>
    <row r="39" spans="1:5" ht="80.25" customHeight="1" x14ac:dyDescent="0.4">
      <c r="A39" s="34"/>
      <c r="B39" s="35"/>
      <c r="D39" s="34"/>
      <c r="E39" s="35"/>
    </row>
  </sheetData>
  <mergeCells count="48">
    <mergeCell ref="A37:B37"/>
    <mergeCell ref="A38:B38"/>
    <mergeCell ref="A39:B39"/>
    <mergeCell ref="D37:E37"/>
    <mergeCell ref="D38:E38"/>
    <mergeCell ref="D39:E39"/>
    <mergeCell ref="A32:B32"/>
    <mergeCell ref="A33:B33"/>
    <mergeCell ref="A34:B34"/>
    <mergeCell ref="D32:E32"/>
    <mergeCell ref="D33:E33"/>
    <mergeCell ref="D34:E34"/>
    <mergeCell ref="A27:B27"/>
    <mergeCell ref="A28:B28"/>
    <mergeCell ref="A29:B29"/>
    <mergeCell ref="D27:E27"/>
    <mergeCell ref="D28:E28"/>
    <mergeCell ref="D29:E29"/>
    <mergeCell ref="A22:B22"/>
    <mergeCell ref="A23:B23"/>
    <mergeCell ref="A24:B24"/>
    <mergeCell ref="D22:E22"/>
    <mergeCell ref="D23:E23"/>
    <mergeCell ref="D24:E24"/>
    <mergeCell ref="A17:B17"/>
    <mergeCell ref="A18:B18"/>
    <mergeCell ref="A19:B19"/>
    <mergeCell ref="D17:E17"/>
    <mergeCell ref="D18:E18"/>
    <mergeCell ref="D19:E19"/>
    <mergeCell ref="A12:B12"/>
    <mergeCell ref="A13:B13"/>
    <mergeCell ref="A14:B14"/>
    <mergeCell ref="D12:E12"/>
    <mergeCell ref="D13:E13"/>
    <mergeCell ref="D14:E14"/>
    <mergeCell ref="A7:B7"/>
    <mergeCell ref="A8:B8"/>
    <mergeCell ref="A9:B9"/>
    <mergeCell ref="D7:E7"/>
    <mergeCell ref="D8:E8"/>
    <mergeCell ref="D9:E9"/>
    <mergeCell ref="A2:B2"/>
    <mergeCell ref="A4:B4"/>
    <mergeCell ref="A3:B3"/>
    <mergeCell ref="D2:E2"/>
    <mergeCell ref="D3:E3"/>
    <mergeCell ref="D4:E4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分析</vt:lpstr>
      <vt:lpstr>一覧形式コメント</vt:lpstr>
      <vt:lpstr>回答形式コメント</vt:lpstr>
      <vt:lpstr>一覧形式コメント!Print_Area</vt:lpstr>
      <vt:lpstr>回答形式コメント!Print_Area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大迫雅仁</dc:creator>
  <cp:lastModifiedBy>大迫雅仁</cp:lastModifiedBy>
  <cp:lastPrinted>2016-11-18T10:35:57Z</cp:lastPrinted>
  <dcterms:created xsi:type="dcterms:W3CDTF">2016-11-14T08:54:47Z</dcterms:created>
  <dcterms:modified xsi:type="dcterms:W3CDTF">2016-11-20T01:18:41Z</dcterms:modified>
</cp:coreProperties>
</file>